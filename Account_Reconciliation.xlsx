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5ed58afa601ead/Desktop/"/>
    </mc:Choice>
  </mc:AlternateContent>
  <xr:revisionPtr revIDLastSave="0" documentId="11_11A5C0C08B6FED144581A6FD216881CA7FA374E2" xr6:coauthVersionLast="47" xr6:coauthVersionMax="47" xr10:uidLastSave="{00000000-0000-0000-0000-000000000000}"/>
  <bookViews>
    <workbookView minimized="1" xWindow="1800" yWindow="0" windowWidth="17400" windowHeight="10080" tabRatio="500" firstSheet="3" activeTab="5" xr2:uid="{00000000-000D-0000-FFFF-FFFF00000000}"/>
  </bookViews>
  <sheets>
    <sheet name="Cover" sheetId="1" r:id="rId1"/>
    <sheet name="GL Data" sheetId="2" r:id="rId2"/>
    <sheet name="Bank Statement" sheetId="3" r:id="rId3"/>
    <sheet name="Bank Recon" sheetId="4" r:id="rId4"/>
    <sheet name="Subledger Recon" sheetId="5" r:id="rId5"/>
    <sheet name="Recon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C5" i="6"/>
  <c r="F24" i="2"/>
  <c r="E24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6" i="2" s="1"/>
  <c r="E5" i="4" s="1"/>
  <c r="C20" i="6" l="1"/>
  <c r="E20" i="6" s="1"/>
  <c r="E11" i="4"/>
  <c r="E23" i="4" s="1"/>
  <c r="E24" i="4" s="1"/>
  <c r="A5" i="6"/>
  <c r="E5" i="6"/>
</calcChain>
</file>

<file path=xl/sharedStrings.xml><?xml version="1.0" encoding="utf-8"?>
<sst xmlns="http://schemas.openxmlformats.org/spreadsheetml/2006/main" count="501" uniqueCount="323">
  <si>
    <t>ACCOUNT RECONCILIATION WORKBOOK</t>
  </si>
  <si>
    <t>Record to Report — GL &amp; Bank Reconciliation | FY 2025-26</t>
  </si>
  <si>
    <t>Company:</t>
  </si>
  <si>
    <t>XYZ Manufacturing Pvt. Ltd.</t>
  </si>
  <si>
    <t>Prepared By:</t>
  </si>
  <si>
    <t>Accounts Team — R2R Division</t>
  </si>
  <si>
    <t>Review Period:</t>
  </si>
  <si>
    <t>March 2026 (FY 2025-26)</t>
  </si>
  <si>
    <t>As On Date:</t>
  </si>
  <si>
    <t>31-Mar-2026</t>
  </si>
  <si>
    <t>Approved By:</t>
  </si>
  <si>
    <t>Finance Controller</t>
  </si>
  <si>
    <t>WORKBOOK INDEX</t>
  </si>
  <si>
    <t>#</t>
  </si>
  <si>
    <t>Sheet Name</t>
  </si>
  <si>
    <t>Description</t>
  </si>
  <si>
    <t>Status</t>
  </si>
  <si>
    <t>1</t>
  </si>
  <si>
    <t>GL Data</t>
  </si>
  <si>
    <t>General Ledger transactions for March 2026</t>
  </si>
  <si>
    <t>✔ Complete</t>
  </si>
  <si>
    <t>2</t>
  </si>
  <si>
    <t>Bank Statement</t>
  </si>
  <si>
    <t>Bank statement entries for March 2026</t>
  </si>
  <si>
    <t>3</t>
  </si>
  <si>
    <t>Bank Recon</t>
  </si>
  <si>
    <t>Bank vs GL matching &amp; reconciliation statement</t>
  </si>
  <si>
    <t>4</t>
  </si>
  <si>
    <t>Subledger Recon</t>
  </si>
  <si>
    <t>AR/AP Subledger vs GL control account reconciliation</t>
  </si>
  <si>
    <t>5</t>
  </si>
  <si>
    <t>Recon Summary</t>
  </si>
  <si>
    <t>Executive summary of all reconciliation results</t>
  </si>
  <si>
    <t>GENERAL LEDGER — TRANSACTION DATA  |  March 2026</t>
  </si>
  <si>
    <t>Account: 1001 — Current Account (HDFC Bank) | Currency: INR</t>
  </si>
  <si>
    <t>Txn No.</t>
  </si>
  <si>
    <t>Date</t>
  </si>
  <si>
    <t>Voucher Type</t>
  </si>
  <si>
    <t>Debit (₹)</t>
  </si>
  <si>
    <t>Credit (₹)</t>
  </si>
  <si>
    <t>Running Balance (₹)</t>
  </si>
  <si>
    <t>Reference</t>
  </si>
  <si>
    <t>Posted By</t>
  </si>
  <si>
    <t>GL-0001</t>
  </si>
  <si>
    <t>01-Mar-26</t>
  </si>
  <si>
    <t>Opening Balance b/f</t>
  </si>
  <si>
    <t>Opening</t>
  </si>
  <si>
    <t>OB-2026</t>
  </si>
  <si>
    <t>GL-0002</t>
  </si>
  <si>
    <t>02-Mar-26</t>
  </si>
  <si>
    <t>Customer Payment — Reliance Retail</t>
  </si>
  <si>
    <t>Receipt</t>
  </si>
  <si>
    <t>INV-2201</t>
  </si>
  <si>
    <t>Priya S.</t>
  </si>
  <si>
    <t>GL-0003</t>
  </si>
  <si>
    <t>03-Mar-26</t>
  </si>
  <si>
    <t>Vendor Payment — Tata Steel</t>
  </si>
  <si>
    <t>Payment</t>
  </si>
  <si>
    <t>PO-4501</t>
  </si>
  <si>
    <t>Rohan M.</t>
  </si>
  <si>
    <t>GL-0004</t>
  </si>
  <si>
    <t>05-Mar-26</t>
  </si>
  <si>
    <t>Salary Disbursement — March</t>
  </si>
  <si>
    <t>SAL-0326</t>
  </si>
  <si>
    <t>GL-0005</t>
  </si>
  <si>
    <t>07-Mar-26</t>
  </si>
  <si>
    <t>Customer Payment — ITC Ltd</t>
  </si>
  <si>
    <t>INV-2202</t>
  </si>
  <si>
    <t>GL-0006</t>
  </si>
  <si>
    <t>08-Mar-26</t>
  </si>
  <si>
    <t>Office Rent — March</t>
  </si>
  <si>
    <t>RENT-326</t>
  </si>
  <si>
    <t>Anita K.</t>
  </si>
  <si>
    <t>GL-0007</t>
  </si>
  <si>
    <t>10-Mar-26</t>
  </si>
  <si>
    <t>Customer Payment — Nestle India</t>
  </si>
  <si>
    <t>INV-2203</t>
  </si>
  <si>
    <t>GL-0008</t>
  </si>
  <si>
    <t>12-Mar-26</t>
  </si>
  <si>
    <t>Bank Charges</t>
  </si>
  <si>
    <t>Misc</t>
  </si>
  <si>
    <t>BC-0326</t>
  </si>
  <si>
    <t>System</t>
  </si>
  <si>
    <t>GL-0009</t>
  </si>
  <si>
    <t>14-Mar-26</t>
  </si>
  <si>
    <t>Vendor Payment — Godrej Consumer</t>
  </si>
  <si>
    <t>PO-4502</t>
  </si>
  <si>
    <t>GL-0010</t>
  </si>
  <si>
    <t>15-Mar-26</t>
  </si>
  <si>
    <t>Customer Payment — Dabur India</t>
  </si>
  <si>
    <t>INV-2204</t>
  </si>
  <si>
    <t>GL-0011</t>
  </si>
  <si>
    <t>17-Mar-26</t>
  </si>
  <si>
    <t>Advance to Supplier — ABC Traders</t>
  </si>
  <si>
    <t>ADV-101</t>
  </si>
  <si>
    <t>GL-0012</t>
  </si>
  <si>
    <t>18-Mar-26</t>
  </si>
  <si>
    <t>Interest Income</t>
  </si>
  <si>
    <t>INT-0326</t>
  </si>
  <si>
    <t>GL-0013</t>
  </si>
  <si>
    <t>20-Mar-26</t>
  </si>
  <si>
    <t>Customer Payment — Marico Ltd</t>
  </si>
  <si>
    <t>INV-2205</t>
  </si>
  <si>
    <t>GL-0014</t>
  </si>
  <si>
    <t>22-Mar-26</t>
  </si>
  <si>
    <t>Utilities — Electricity Bill</t>
  </si>
  <si>
    <t>UTIL-326</t>
  </si>
  <si>
    <t>GL-0015</t>
  </si>
  <si>
    <t>24-Mar-26</t>
  </si>
  <si>
    <t>Customer Payment — P&amp;G India</t>
  </si>
  <si>
    <t>INV-2206</t>
  </si>
  <si>
    <t>GL-0016</t>
  </si>
  <si>
    <t>25-Mar-26</t>
  </si>
  <si>
    <t>TDS Payment to Govt</t>
  </si>
  <si>
    <t>TDS-326</t>
  </si>
  <si>
    <t>GL-0017</t>
  </si>
  <si>
    <t>27-Mar-26</t>
  </si>
  <si>
    <t>Vendor Payment — Hindustan Unilever</t>
  </si>
  <si>
    <t>PO-4503</t>
  </si>
  <si>
    <t>GL-0018</t>
  </si>
  <si>
    <t>28-Mar-26</t>
  </si>
  <si>
    <t>Customer Payment — Britannia</t>
  </si>
  <si>
    <t>INV-2207</t>
  </si>
  <si>
    <t>GL-0019</t>
  </si>
  <si>
    <t>29-Mar-26</t>
  </si>
  <si>
    <t>Miscellaneous Expense</t>
  </si>
  <si>
    <t>MISC-326</t>
  </si>
  <si>
    <t>GL-0020</t>
  </si>
  <si>
    <t>31-Mar-26</t>
  </si>
  <si>
    <t>Bank Charges — NEFT</t>
  </si>
  <si>
    <t>BC-0327</t>
  </si>
  <si>
    <t>TOTAL MOVEMENTS</t>
  </si>
  <si>
    <t>Closing Balance as per GL (31-Mar-2026) →</t>
  </si>
  <si>
    <t>BANK STATEMENT — HDFC BANK  |  A/C: XXXX-XXXX-7842  |  March 2026</t>
  </si>
  <si>
    <t>IFSC: HDFC0001234 | Branch: Connaught Place, New Delhi | Statement Period: 01-Mar-2026 to 31-Mar-2026</t>
  </si>
  <si>
    <t>Value Date</t>
  </si>
  <si>
    <t>Cheque/Ref No.</t>
  </si>
  <si>
    <t>Balance (₹)</t>
  </si>
  <si>
    <t>Match Status</t>
  </si>
  <si>
    <t>GL Ref</t>
  </si>
  <si>
    <t>NEFT Cr - Reliance Retail</t>
  </si>
  <si>
    <t>NEFT2201</t>
  </si>
  <si>
    <t>Matched</t>
  </si>
  <si>
    <t>RTGS Dr - Tata Steel</t>
  </si>
  <si>
    <t>RTGS4501</t>
  </si>
  <si>
    <t>Salary - March 2026</t>
  </si>
  <si>
    <t>SAL0326</t>
  </si>
  <si>
    <t>06-Mar-26</t>
  </si>
  <si>
    <t>NEFT Cr - ITC Ltd</t>
  </si>
  <si>
    <t>NEFT2202</t>
  </si>
  <si>
    <t>Office Rent - Mar</t>
  </si>
  <si>
    <t>RENT326</t>
  </si>
  <si>
    <t>NEFT Cr - Nestle India</t>
  </si>
  <si>
    <t>NEFT2203</t>
  </si>
  <si>
    <t>Bank Charges - Mar</t>
  </si>
  <si>
    <t>CHGS326</t>
  </si>
  <si>
    <t>RTGS Dr - Godrej Consumer</t>
  </si>
  <si>
    <t>RTGS4502</t>
  </si>
  <si>
    <t>NEFT Cr - Dabur India</t>
  </si>
  <si>
    <t>NEFT2204</t>
  </si>
  <si>
    <t>16-Mar-26</t>
  </si>
  <si>
    <t>DD Dr - ABC Traders</t>
  </si>
  <si>
    <t>DD101</t>
  </si>
  <si>
    <t>Interest Credit</t>
  </si>
  <si>
    <t>INT326</t>
  </si>
  <si>
    <t>19-Mar-26</t>
  </si>
  <si>
    <t>NEFT Cr - Marico Ltd</t>
  </si>
  <si>
    <t>NEFT2205</t>
  </si>
  <si>
    <t>Electricity Bill</t>
  </si>
  <si>
    <t>UTIL326</t>
  </si>
  <si>
    <t>NEFT Cr - P&amp;G India</t>
  </si>
  <si>
    <t>NEFT2206</t>
  </si>
  <si>
    <t>TDS Payment</t>
  </si>
  <si>
    <t>TDS326</t>
  </si>
  <si>
    <t>26-Mar-26</t>
  </si>
  <si>
    <t>RTGS Dr - Hindustan Unilever</t>
  </si>
  <si>
    <t>RTGS4503</t>
  </si>
  <si>
    <t>NEFT Cr - Britannia</t>
  </si>
  <si>
    <t>NEFT2207</t>
  </si>
  <si>
    <t>Miscellaneous Exp</t>
  </si>
  <si>
    <t>MISC326</t>
  </si>
  <si>
    <t>30-Mar-26</t>
  </si>
  <si>
    <t>Direct Debit - Insurance Premium</t>
  </si>
  <si>
    <t>DD-INS01</t>
  </si>
  <si>
    <t>Unmatched</t>
  </si>
  <si>
    <t>NEFT Cr - Varun Beverages (late credit)</t>
  </si>
  <si>
    <t>NEFT2208</t>
  </si>
  <si>
    <t>Bank Charges - NEFT</t>
  </si>
  <si>
    <t>CHGS327</t>
  </si>
  <si>
    <t>Closing Balance as per Bank Statement (31-Mar-2026) →</t>
  </si>
  <si>
    <t>BANK RECONCILIATION STATEMENT  |  31st March 2026</t>
  </si>
  <si>
    <t>PART A — BALANCE AS PER GENERAL LEDGER</t>
  </si>
  <si>
    <t>Particulars</t>
  </si>
  <si>
    <t>Amount (₹)</t>
  </si>
  <si>
    <t>Closing Balance as per GL (31-Mar-2026)</t>
  </si>
  <si>
    <t>Add: Bank Credit not recorded in GL</t>
  </si>
  <si>
    <t xml:space="preserve">  — NEFT from Varun Beverages (late entry)</t>
  </si>
  <si>
    <t>Unmatched in Bank</t>
  </si>
  <si>
    <t>Less: Bank Debit not recorded in GL</t>
  </si>
  <si>
    <t xml:space="preserve">  — Insurance Premium DD (not booked)</t>
  </si>
  <si>
    <t xml:space="preserve">  — Bank Charges NEFT (already recorded)</t>
  </si>
  <si>
    <t>Already matched</t>
  </si>
  <si>
    <t>Adjusted Balance as per GL</t>
  </si>
  <si>
    <t>PART B — BALANCE AS PER BANK STATEMENT</t>
  </si>
  <si>
    <t>Closing Balance as per Bank Statement (31-Mar-2026)</t>
  </si>
  <si>
    <t>Less: Deposits in Transit (not yet credited by bank)</t>
  </si>
  <si>
    <t xml:space="preserve">  — No outstanding deposits in transit</t>
  </si>
  <si>
    <t>Add: Outstanding Cheques (issued not yet presented)</t>
  </si>
  <si>
    <t xml:space="preserve">  — No outstanding cheques</t>
  </si>
  <si>
    <t>Adjusted Balance as per Bank</t>
  </si>
  <si>
    <t>RECONCILIATION CHECK</t>
  </si>
  <si>
    <t>Difference (GL Adjusted − Bank Adjusted)</t>
  </si>
  <si>
    <t>Reconciliation Status</t>
  </si>
  <si>
    <t>UNMATCHED / RECONCILING ITEMS</t>
  </si>
  <si>
    <t>Action Required</t>
  </si>
  <si>
    <t>Insurance Premium DD</t>
  </si>
  <si>
    <t>Bank Only</t>
  </si>
  <si>
    <t>Book journal entry: Dr Prepaid Insurance / Cr Bank</t>
  </si>
  <si>
    <t>NEFT from Varun Beverages</t>
  </si>
  <si>
    <t>Post receipt entry in GL against INV-pending</t>
  </si>
  <si>
    <t>SUBLEDGER vs GL CONTROL ACCOUNT RECONCILIATION  |  31st March 2026</t>
  </si>
  <si>
    <t>SECTION 1 — ACCOUNTS RECEIVABLE (AR) RECONCILIATION</t>
  </si>
  <si>
    <t>Customer</t>
  </si>
  <si>
    <t>Subledger Balance (₹)</t>
  </si>
  <si>
    <t>GL Control A/c (₹)</t>
  </si>
  <si>
    <t>Difference (₹)</t>
  </si>
  <si>
    <t>Aging</t>
  </si>
  <si>
    <t>Last Payment</t>
  </si>
  <si>
    <t>Remarks</t>
  </si>
  <si>
    <t>Reliance Retail</t>
  </si>
  <si>
    <t>✔ Matched</t>
  </si>
  <si>
    <t>Current</t>
  </si>
  <si>
    <t>Tata Consumer</t>
  </si>
  <si>
    <t>31-60 Days</t>
  </si>
  <si>
    <t>Feb-26</t>
  </si>
  <si>
    <t>ITC Ltd</t>
  </si>
  <si>
    <t>Britannia Inds</t>
  </si>
  <si>
    <t>Dabur India</t>
  </si>
  <si>
    <t>P&amp;G India</t>
  </si>
  <si>
    <t>Marico Ltd</t>
  </si>
  <si>
    <t>Nestle India</t>
  </si>
  <si>
    <t>Varun Beverages</t>
  </si>
  <si>
    <t>✘ Variance</t>
  </si>
  <si>
    <t>Late bank credit not updated in GL</t>
  </si>
  <si>
    <t>Hindustan Foods</t>
  </si>
  <si>
    <t>Emami Ltd</t>
  </si>
  <si>
    <t>Godrej Consumer</t>
  </si>
  <si>
    <t>Colgate Palmolive</t>
  </si>
  <si>
    <t>TOTAL</t>
  </si>
  <si>
    <t>SECTION 2 — ACCOUNTS PAYABLE (AP) RECONCILIATION</t>
  </si>
  <si>
    <t>Vendor</t>
  </si>
  <si>
    <t>Due Date</t>
  </si>
  <si>
    <t>Invoice Ref</t>
  </si>
  <si>
    <t>Tata Steel</t>
  </si>
  <si>
    <t>15-Apr-26</t>
  </si>
  <si>
    <t>Hindustan Unilever</t>
  </si>
  <si>
    <t>10-Apr-26</t>
  </si>
  <si>
    <t>ABC Traders</t>
  </si>
  <si>
    <t>Advance — Pending</t>
  </si>
  <si>
    <t>Reliance Industries</t>
  </si>
  <si>
    <t>05-Apr-26</t>
  </si>
  <si>
    <t>PO-4504</t>
  </si>
  <si>
    <t>Asian Paints</t>
  </si>
  <si>
    <t>25-Apr-26</t>
  </si>
  <si>
    <t>PO-4505</t>
  </si>
  <si>
    <t>Bajaj Electricals</t>
  </si>
  <si>
    <t>30-Apr-26</t>
  </si>
  <si>
    <t>PO-4506</t>
  </si>
  <si>
    <t>Havells India</t>
  </si>
  <si>
    <t>12-Apr-26</t>
  </si>
  <si>
    <t>PO-4507</t>
  </si>
  <si>
    <t>Pidilite</t>
  </si>
  <si>
    <t>18-Apr-26</t>
  </si>
  <si>
    <t>PO-4508</t>
  </si>
  <si>
    <t>UPL Ltd</t>
  </si>
  <si>
    <t>22-Apr-26</t>
  </si>
  <si>
    <t>PO-4509</t>
  </si>
  <si>
    <t>GL shows ₹75,000; Subledger shows ₹65,000 — ₹10,000 excess in GL; pending vendor invoice confirmation to update subledger</t>
  </si>
  <si>
    <t>RECONCILIATION SUMMARY DASHBOARD  |  March 2026  |  XYZ Manufacturing Pvt. Ltd.</t>
  </si>
  <si>
    <t>KEY RECONCILIATION METRICS</t>
  </si>
  <si>
    <t>GL Closing Balance</t>
  </si>
  <si>
    <t>Bank Closing Balance</t>
  </si>
  <si>
    <t>Bank Recon Difference</t>
  </si>
  <si>
    <t>AR Subledger Balance</t>
  </si>
  <si>
    <t>AR GL Control Balance</t>
  </si>
  <si>
    <t>AR Variance</t>
  </si>
  <si>
    <t>₹9,27,500</t>
  </si>
  <si>
    <t>₹8,82,500</t>
  </si>
  <si>
    <t>₹45,000</t>
  </si>
  <si>
    <t>AP Subledger Balance</t>
  </si>
  <si>
    <t>AP GL Control Balance</t>
  </si>
  <si>
    <t>AP Variance</t>
  </si>
  <si>
    <t>₹6,64,000</t>
  </si>
  <si>
    <t>₹6,74,000</t>
  </si>
  <si>
    <t>₹10,000</t>
  </si>
  <si>
    <t>RECONCILIATION STATUS SUMMARY</t>
  </si>
  <si>
    <t>Reconciliation Type</t>
  </si>
  <si>
    <t>GL Balance (₹)</t>
  </si>
  <si>
    <t>Sub/Bank Balance (₹)</t>
  </si>
  <si>
    <t>Variance (₹)</t>
  </si>
  <si>
    <t>Bank Reconciliation (GL vs Bank)</t>
  </si>
  <si>
    <t>⚠ Minor Variance</t>
  </si>
  <si>
    <t>Book 2 unmatched items — see Bank Recon sheet</t>
  </si>
  <si>
    <t>AR Subledger vs GL Control A/c</t>
  </si>
  <si>
    <t>Update GL for Varun Beverages late credit</t>
  </si>
  <si>
    <t>AP Subledger vs GL Control A/c</t>
  </si>
  <si>
    <t>Verify UPL Ltd invoice &amp; update subledger</t>
  </si>
  <si>
    <t>Intercompany Reconciliation</t>
  </si>
  <si>
    <t>✔ Reconciled</t>
  </si>
  <si>
    <t>No intercompany transactions this period</t>
  </si>
  <si>
    <t>Prepaid &amp; Accruals Recon</t>
  </si>
  <si>
    <t>All schedules match</t>
  </si>
  <si>
    <t>SIGN-OFF &amp; APPROVALS</t>
  </si>
  <si>
    <t>Role</t>
  </si>
  <si>
    <t>Name</t>
  </si>
  <si>
    <t>Signature</t>
  </si>
  <si>
    <t>Comments</t>
  </si>
  <si>
    <t>Prepared By</t>
  </si>
  <si>
    <t>Accounts Associate — R2R</t>
  </si>
  <si>
    <t>____________</t>
  </si>
  <si>
    <t>Reviewed By</t>
  </si>
  <si>
    <t>R2R Team Lead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</si>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</sst>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&quot;(₹&quot;#,##0\);\-"/>
  </numFmts>
  <fonts count="2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1F497D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12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497D"/>
      <name val="Arial"/>
      <charset val="1"/>
    </font>
    <font>
      <b/>
      <sz val="11"/>
      <color rgb="FF375623"/>
      <name val="Arial"/>
      <charset val="1"/>
    </font>
    <font>
      <b/>
      <sz val="9"/>
      <color rgb="FF9C0006"/>
      <name val="Arial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rgb="FF375623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i/>
      <sz val="8"/>
      <color rgb="FF000000"/>
      <name val="Arial"/>
      <charset val="1"/>
    </font>
    <font>
      <b/>
      <sz val="8"/>
      <color rgb="FF595959"/>
      <name val="Arial"/>
      <charset val="1"/>
    </font>
    <font>
      <b/>
      <sz val="13"/>
      <color rgb="FF375623"/>
      <name val="Arial"/>
      <charset val="1"/>
    </font>
    <font>
      <b/>
      <sz val="13"/>
      <color rgb="FF1F497D"/>
      <name val="Arial"/>
      <charset val="1"/>
    </font>
    <font>
      <b/>
      <sz val="13"/>
      <color rgb="FF7F6000"/>
      <name val="Arial"/>
      <charset val="1"/>
    </font>
    <font>
      <b/>
      <sz val="13"/>
      <color rgb="FF9C0006"/>
      <name val="Arial"/>
      <charset val="1"/>
    </font>
    <font>
      <b/>
      <sz val="9"/>
      <color rgb="FF7F6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EB9C"/>
        <bgColor rgb="FFFCD5B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164" fontId="17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4" fontId="18" fillId="0" borderId="1" xfId="0" applyNumberFormat="1" applyFont="1" applyBorder="1" applyAlignment="1">
      <alignment horizontal="right" vertical="center"/>
    </xf>
    <xf numFmtId="0" fontId="19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6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7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11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23" fillId="4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FFC7C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opLeftCell="A7" zoomScaleNormal="100" workbookViewId="0">
      <selection sqref="A1:H1"/>
    </sheetView>
  </sheetViews>
  <sheetFormatPr defaultColWidth="8.6328125" defaultRowHeight="14.5" x14ac:dyDescent="0.35"/>
  <cols>
    <col min="2" max="2" width="5" customWidth="1"/>
    <col min="3" max="3" width="22" customWidth="1"/>
    <col min="4" max="4" width="45" customWidth="1"/>
    <col min="5" max="6" width="1" customWidth="1"/>
    <col min="7" max="7" width="14" customWidth="1"/>
  </cols>
  <sheetData>
    <row r="1" spans="1:8" ht="9.75" customHeight="1" x14ac:dyDescent="0.35">
      <c r="A1" s="38"/>
      <c r="B1" s="38"/>
      <c r="C1" s="38"/>
      <c r="D1" s="38"/>
      <c r="E1" s="38"/>
      <c r="F1" s="38"/>
      <c r="G1" s="38"/>
      <c r="H1" s="38"/>
    </row>
    <row r="2" spans="1:8" ht="60" customHeight="1" x14ac:dyDescent="0.35">
      <c r="A2" s="37" t="s">
        <v>0</v>
      </c>
      <c r="B2" s="38"/>
      <c r="C2" s="38"/>
      <c r="D2" s="38"/>
      <c r="E2" s="38"/>
      <c r="F2" s="38"/>
      <c r="G2" s="38"/>
      <c r="H2" s="38"/>
    </row>
    <row r="3" spans="1:8" ht="15" customHeight="1" x14ac:dyDescent="0.35">
      <c r="A3" s="38"/>
      <c r="B3" s="38"/>
      <c r="C3" s="38"/>
      <c r="D3" s="38"/>
      <c r="E3" s="38"/>
      <c r="F3" s="38"/>
      <c r="G3" s="38"/>
      <c r="H3" s="38"/>
    </row>
    <row r="4" spans="1:8" ht="15" customHeight="1" x14ac:dyDescent="0.35">
      <c r="A4" s="38"/>
      <c r="B4" s="38"/>
      <c r="C4" s="38"/>
      <c r="D4" s="38"/>
      <c r="E4" s="38"/>
      <c r="F4" s="38"/>
      <c r="G4" s="38"/>
      <c r="H4" s="38"/>
    </row>
    <row r="5" spans="1:8" ht="15" customHeight="1" x14ac:dyDescent="0.35">
      <c r="A5" s="38"/>
      <c r="B5" s="38"/>
      <c r="C5" s="38"/>
      <c r="D5" s="38"/>
      <c r="E5" s="38"/>
      <c r="F5" s="38"/>
      <c r="G5" s="38"/>
      <c r="H5" s="38"/>
    </row>
    <row r="6" spans="1:8" ht="27.75" customHeight="1" x14ac:dyDescent="0.35">
      <c r="A6" s="41" t="s">
        <v>1</v>
      </c>
      <c r="B6" s="38"/>
      <c r="C6" s="38"/>
      <c r="D6" s="38"/>
      <c r="E6" s="38"/>
      <c r="F6" s="38"/>
      <c r="G6" s="38"/>
      <c r="H6" s="38"/>
    </row>
    <row r="7" spans="1:8" ht="15" customHeight="1" x14ac:dyDescent="0.35">
      <c r="A7" s="38"/>
      <c r="B7" s="38"/>
      <c r="C7" s="38"/>
      <c r="D7" s="38"/>
      <c r="E7" s="38"/>
      <c r="F7" s="38"/>
      <c r="G7" s="38"/>
      <c r="H7" s="38"/>
    </row>
    <row r="8" spans="1:8" ht="7.5" customHeight="1" x14ac:dyDescent="0.35"/>
    <row r="9" spans="1:8" ht="7.5" customHeight="1" x14ac:dyDescent="0.35"/>
    <row r="10" spans="1:8" ht="19.5" customHeight="1" x14ac:dyDescent="0.35">
      <c r="B10" s="1" t="s">
        <v>2</v>
      </c>
      <c r="C10" s="33" t="s">
        <v>3</v>
      </c>
      <c r="D10" s="34"/>
      <c r="E10" s="34"/>
      <c r="F10" s="35"/>
    </row>
    <row r="11" spans="1:8" ht="19.5" customHeight="1" x14ac:dyDescent="0.35">
      <c r="B11" s="1" t="s">
        <v>4</v>
      </c>
      <c r="C11" s="33" t="s">
        <v>5</v>
      </c>
      <c r="D11" s="34"/>
      <c r="E11" s="34"/>
      <c r="F11" s="35"/>
    </row>
    <row r="12" spans="1:8" ht="19.5" customHeight="1" x14ac:dyDescent="0.35">
      <c r="B12" s="1" t="s">
        <v>6</v>
      </c>
      <c r="C12" s="33" t="s">
        <v>7</v>
      </c>
      <c r="D12" s="34"/>
      <c r="E12" s="34"/>
      <c r="F12" s="35"/>
    </row>
    <row r="13" spans="1:8" ht="19.5" customHeight="1" x14ac:dyDescent="0.35">
      <c r="B13" s="1" t="s">
        <v>8</v>
      </c>
      <c r="C13" s="33" t="s">
        <v>9</v>
      </c>
      <c r="D13" s="34"/>
      <c r="E13" s="34"/>
      <c r="F13" s="35"/>
    </row>
    <row r="14" spans="1:8" ht="19.5" customHeight="1" x14ac:dyDescent="0.35">
      <c r="B14" s="1" t="s">
        <v>10</v>
      </c>
      <c r="C14" s="33" t="s">
        <v>11</v>
      </c>
      <c r="D14" s="34"/>
      <c r="E14" s="34"/>
      <c r="F14" s="35"/>
    </row>
    <row r="16" spans="1:8" ht="7.5" customHeight="1" x14ac:dyDescent="0.35"/>
    <row r="17" spans="2:7" ht="7.5" customHeight="1" x14ac:dyDescent="0.35"/>
    <row r="18" spans="2:7" ht="21.75" customHeight="1" x14ac:dyDescent="0.35">
      <c r="B18" s="42" t="s">
        <v>12</v>
      </c>
      <c r="C18" s="38"/>
      <c r="D18" s="38"/>
      <c r="E18" s="38"/>
      <c r="F18" s="38"/>
      <c r="G18" s="38"/>
    </row>
    <row r="19" spans="2:7" ht="30" customHeight="1" x14ac:dyDescent="0.35">
      <c r="B19" s="2" t="s">
        <v>13</v>
      </c>
      <c r="C19" s="2" t="s">
        <v>14</v>
      </c>
      <c r="D19" s="36" t="s">
        <v>15</v>
      </c>
      <c r="E19" s="34"/>
      <c r="F19" s="35"/>
      <c r="G19" s="2" t="s">
        <v>16</v>
      </c>
    </row>
    <row r="20" spans="2:7" ht="18" customHeight="1" x14ac:dyDescent="0.35">
      <c r="B20" s="3" t="s">
        <v>17</v>
      </c>
      <c r="C20" s="4" t="s">
        <v>18</v>
      </c>
      <c r="D20" s="40" t="s">
        <v>19</v>
      </c>
      <c r="E20" s="34"/>
      <c r="F20" s="34"/>
      <c r="G20" s="5" t="s">
        <v>20</v>
      </c>
    </row>
    <row r="21" spans="2:7" ht="18" customHeight="1" x14ac:dyDescent="0.35">
      <c r="B21" s="6" t="s">
        <v>21</v>
      </c>
      <c r="C21" s="7" t="s">
        <v>22</v>
      </c>
      <c r="D21" s="39" t="s">
        <v>23</v>
      </c>
      <c r="E21" s="34"/>
      <c r="F21" s="34"/>
      <c r="G21" s="5" t="s">
        <v>20</v>
      </c>
    </row>
    <row r="22" spans="2:7" ht="18" customHeight="1" x14ac:dyDescent="0.35">
      <c r="B22" s="3" t="s">
        <v>24</v>
      </c>
      <c r="C22" s="4" t="s">
        <v>25</v>
      </c>
      <c r="D22" s="40" t="s">
        <v>26</v>
      </c>
      <c r="E22" s="34"/>
      <c r="F22" s="34"/>
      <c r="G22" s="5" t="s">
        <v>20</v>
      </c>
    </row>
    <row r="23" spans="2:7" ht="18" customHeight="1" x14ac:dyDescent="0.35">
      <c r="B23" s="6" t="s">
        <v>27</v>
      </c>
      <c r="C23" s="7" t="s">
        <v>28</v>
      </c>
      <c r="D23" s="39" t="s">
        <v>29</v>
      </c>
      <c r="E23" s="34"/>
      <c r="F23" s="34"/>
      <c r="G23" s="5" t="s">
        <v>20</v>
      </c>
    </row>
    <row r="24" spans="2:7" ht="18" customHeight="1" x14ac:dyDescent="0.35">
      <c r="B24" s="3" t="s">
        <v>30</v>
      </c>
      <c r="C24" s="4" t="s">
        <v>31</v>
      </c>
      <c r="D24" s="40" t="s">
        <v>32</v>
      </c>
      <c r="E24" s="34"/>
      <c r="F24" s="34"/>
      <c r="G24" s="5" t="s">
        <v>20</v>
      </c>
    </row>
  </sheetData>
  <mergeCells count="15">
    <mergeCell ref="D24:F24"/>
    <mergeCell ref="A1:H1"/>
    <mergeCell ref="D21:F21"/>
    <mergeCell ref="D20:F20"/>
    <mergeCell ref="C10:F10"/>
    <mergeCell ref="C14:F14"/>
    <mergeCell ref="C13:F13"/>
    <mergeCell ref="D19:F19"/>
    <mergeCell ref="A2:H5"/>
    <mergeCell ref="D23:F23"/>
    <mergeCell ref="C12:F12"/>
    <mergeCell ref="D22:F22"/>
    <mergeCell ref="A6:H7"/>
    <mergeCell ref="B18:G18"/>
    <mergeCell ref="C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showGridLines="0" zoomScaleNormal="100" workbookViewId="0">
      <selection sqref="A1:I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8" customWidth="1"/>
    <col min="4" max="6" width="14" customWidth="1"/>
    <col min="7" max="7" width="18" customWidth="1"/>
    <col min="8" max="8" width="14" customWidth="1"/>
    <col min="9" max="9" width="12" customWidth="1"/>
  </cols>
  <sheetData>
    <row r="1" spans="1:9" ht="21.75" customHeight="1" x14ac:dyDescent="0.35">
      <c r="A1" s="43" t="s">
        <v>33</v>
      </c>
      <c r="B1" s="38"/>
      <c r="C1" s="38"/>
      <c r="D1" s="38"/>
      <c r="E1" s="38"/>
      <c r="F1" s="38"/>
      <c r="G1" s="38"/>
      <c r="H1" s="38"/>
      <c r="I1" s="38"/>
    </row>
    <row r="2" spans="1:9" ht="15.75" customHeight="1" x14ac:dyDescent="0.35">
      <c r="A2" s="45" t="s">
        <v>34</v>
      </c>
      <c r="B2" s="38"/>
      <c r="C2" s="38"/>
      <c r="D2" s="38"/>
      <c r="E2" s="38"/>
      <c r="F2" s="38"/>
      <c r="G2" s="38"/>
      <c r="H2" s="38"/>
      <c r="I2" s="38"/>
    </row>
    <row r="3" spans="1:9" ht="30" customHeight="1" x14ac:dyDescent="0.35">
      <c r="A3" s="2" t="s">
        <v>35</v>
      </c>
      <c r="B3" s="2" t="s">
        <v>36</v>
      </c>
      <c r="C3" s="2" t="s">
        <v>15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</row>
    <row r="4" spans="1:9" ht="15" customHeight="1" x14ac:dyDescent="0.35">
      <c r="A4" s="3" t="s">
        <v>43</v>
      </c>
      <c r="B4" s="8" t="s">
        <v>44</v>
      </c>
      <c r="C4" s="8" t="s">
        <v>45</v>
      </c>
      <c r="D4" s="8" t="s">
        <v>46</v>
      </c>
      <c r="E4" s="9">
        <v>3250000</v>
      </c>
      <c r="F4" s="10"/>
      <c r="G4" s="9">
        <v>3250000</v>
      </c>
      <c r="H4" s="8"/>
      <c r="I4" s="8" t="s">
        <v>47</v>
      </c>
    </row>
    <row r="5" spans="1:9" ht="15" customHeight="1" x14ac:dyDescent="0.35">
      <c r="A5" s="6" t="s">
        <v>48</v>
      </c>
      <c r="B5" s="11" t="s">
        <v>49</v>
      </c>
      <c r="C5" s="11" t="s">
        <v>50</v>
      </c>
      <c r="D5" s="11" t="s">
        <v>51</v>
      </c>
      <c r="E5" s="12">
        <v>185000</v>
      </c>
      <c r="F5" s="13"/>
      <c r="G5" s="12">
        <f t="shared" ref="G5:G23" si="0">G4+IF(E5="",0,E5)-IF(F5="",0,F5)</f>
        <v>3435000</v>
      </c>
      <c r="H5" s="11" t="s">
        <v>52</v>
      </c>
      <c r="I5" s="11" t="s">
        <v>53</v>
      </c>
    </row>
    <row r="6" spans="1:9" ht="15" customHeight="1" x14ac:dyDescent="0.35">
      <c r="A6" s="3" t="s">
        <v>54</v>
      </c>
      <c r="B6" s="8" t="s">
        <v>55</v>
      </c>
      <c r="C6" s="8" t="s">
        <v>56</v>
      </c>
      <c r="D6" s="8" t="s">
        <v>57</v>
      </c>
      <c r="E6" s="10"/>
      <c r="F6" s="9">
        <v>95000</v>
      </c>
      <c r="G6" s="9">
        <f t="shared" si="0"/>
        <v>3340000</v>
      </c>
      <c r="H6" s="8" t="s">
        <v>58</v>
      </c>
      <c r="I6" s="8" t="s">
        <v>59</v>
      </c>
    </row>
    <row r="7" spans="1:9" ht="15" customHeight="1" x14ac:dyDescent="0.35">
      <c r="A7" s="6" t="s">
        <v>60</v>
      </c>
      <c r="B7" s="11" t="s">
        <v>61</v>
      </c>
      <c r="C7" s="11" t="s">
        <v>62</v>
      </c>
      <c r="D7" s="11" t="s">
        <v>57</v>
      </c>
      <c r="E7" s="13"/>
      <c r="F7" s="12">
        <v>420000</v>
      </c>
      <c r="G7" s="12">
        <f t="shared" si="0"/>
        <v>2920000</v>
      </c>
      <c r="H7" s="11" t="s">
        <v>63</v>
      </c>
      <c r="I7" s="11" t="s">
        <v>59</v>
      </c>
    </row>
    <row r="8" spans="1:9" ht="15" customHeight="1" x14ac:dyDescent="0.35">
      <c r="A8" s="3" t="s">
        <v>64</v>
      </c>
      <c r="B8" s="8" t="s">
        <v>65</v>
      </c>
      <c r="C8" s="8" t="s">
        <v>66</v>
      </c>
      <c r="D8" s="8" t="s">
        <v>51</v>
      </c>
      <c r="E8" s="9">
        <v>210000</v>
      </c>
      <c r="F8" s="10"/>
      <c r="G8" s="9">
        <f t="shared" si="0"/>
        <v>3130000</v>
      </c>
      <c r="H8" s="8" t="s">
        <v>67</v>
      </c>
      <c r="I8" s="8" t="s">
        <v>53</v>
      </c>
    </row>
    <row r="9" spans="1:9" ht="15" customHeight="1" x14ac:dyDescent="0.35">
      <c r="A9" s="6" t="s">
        <v>68</v>
      </c>
      <c r="B9" s="11" t="s">
        <v>69</v>
      </c>
      <c r="C9" s="11" t="s">
        <v>70</v>
      </c>
      <c r="D9" s="11" t="s">
        <v>57</v>
      </c>
      <c r="E9" s="13"/>
      <c r="F9" s="12">
        <v>75000</v>
      </c>
      <c r="G9" s="12">
        <f t="shared" si="0"/>
        <v>3055000</v>
      </c>
      <c r="H9" s="11" t="s">
        <v>71</v>
      </c>
      <c r="I9" s="11" t="s">
        <v>72</v>
      </c>
    </row>
    <row r="10" spans="1:9" ht="15" customHeight="1" x14ac:dyDescent="0.35">
      <c r="A10" s="3" t="s">
        <v>73</v>
      </c>
      <c r="B10" s="8" t="s">
        <v>74</v>
      </c>
      <c r="C10" s="8" t="s">
        <v>75</v>
      </c>
      <c r="D10" s="8" t="s">
        <v>51</v>
      </c>
      <c r="E10" s="9">
        <v>155000</v>
      </c>
      <c r="F10" s="10"/>
      <c r="G10" s="9">
        <f t="shared" si="0"/>
        <v>3210000</v>
      </c>
      <c r="H10" s="8" t="s">
        <v>76</v>
      </c>
      <c r="I10" s="8" t="s">
        <v>53</v>
      </c>
    </row>
    <row r="11" spans="1:9" ht="15" customHeight="1" x14ac:dyDescent="0.35">
      <c r="A11" s="6" t="s">
        <v>77</v>
      </c>
      <c r="B11" s="11" t="s">
        <v>78</v>
      </c>
      <c r="C11" s="11" t="s">
        <v>79</v>
      </c>
      <c r="D11" s="11" t="s">
        <v>80</v>
      </c>
      <c r="E11" s="13"/>
      <c r="F11" s="12">
        <v>1200</v>
      </c>
      <c r="G11" s="12">
        <f t="shared" si="0"/>
        <v>3208800</v>
      </c>
      <c r="H11" s="11" t="s">
        <v>81</v>
      </c>
      <c r="I11" s="11" t="s">
        <v>82</v>
      </c>
    </row>
    <row r="12" spans="1:9" ht="15" customHeight="1" x14ac:dyDescent="0.35">
      <c r="A12" s="3" t="s">
        <v>83</v>
      </c>
      <c r="B12" s="8" t="s">
        <v>84</v>
      </c>
      <c r="C12" s="8" t="s">
        <v>85</v>
      </c>
      <c r="D12" s="8" t="s">
        <v>57</v>
      </c>
      <c r="E12" s="10"/>
      <c r="F12" s="9">
        <v>68000</v>
      </c>
      <c r="G12" s="9">
        <f t="shared" si="0"/>
        <v>3140800</v>
      </c>
      <c r="H12" s="8" t="s">
        <v>86</v>
      </c>
      <c r="I12" s="8" t="s">
        <v>59</v>
      </c>
    </row>
    <row r="13" spans="1:9" ht="15" customHeight="1" x14ac:dyDescent="0.35">
      <c r="A13" s="6" t="s">
        <v>87</v>
      </c>
      <c r="B13" s="11" t="s">
        <v>88</v>
      </c>
      <c r="C13" s="11" t="s">
        <v>89</v>
      </c>
      <c r="D13" s="11" t="s">
        <v>51</v>
      </c>
      <c r="E13" s="12">
        <v>97000</v>
      </c>
      <c r="F13" s="13"/>
      <c r="G13" s="12">
        <f t="shared" si="0"/>
        <v>3237800</v>
      </c>
      <c r="H13" s="11" t="s">
        <v>90</v>
      </c>
      <c r="I13" s="11" t="s">
        <v>53</v>
      </c>
    </row>
    <row r="14" spans="1:9" ht="15" customHeight="1" x14ac:dyDescent="0.35">
      <c r="A14" s="3" t="s">
        <v>91</v>
      </c>
      <c r="B14" s="8" t="s">
        <v>92</v>
      </c>
      <c r="C14" s="8" t="s">
        <v>93</v>
      </c>
      <c r="D14" s="8" t="s">
        <v>57</v>
      </c>
      <c r="E14" s="10"/>
      <c r="F14" s="9">
        <v>50000</v>
      </c>
      <c r="G14" s="9">
        <f t="shared" si="0"/>
        <v>3187800</v>
      </c>
      <c r="H14" s="8" t="s">
        <v>94</v>
      </c>
      <c r="I14" s="8" t="s">
        <v>72</v>
      </c>
    </row>
    <row r="15" spans="1:9" ht="15" customHeight="1" x14ac:dyDescent="0.35">
      <c r="A15" s="6" t="s">
        <v>95</v>
      </c>
      <c r="B15" s="11" t="s">
        <v>96</v>
      </c>
      <c r="C15" s="11" t="s">
        <v>97</v>
      </c>
      <c r="D15" s="11" t="s">
        <v>51</v>
      </c>
      <c r="E15" s="12">
        <v>8500</v>
      </c>
      <c r="F15" s="13"/>
      <c r="G15" s="12">
        <f t="shared" si="0"/>
        <v>3196300</v>
      </c>
      <c r="H15" s="11" t="s">
        <v>98</v>
      </c>
      <c r="I15" s="11" t="s">
        <v>82</v>
      </c>
    </row>
    <row r="16" spans="1:9" ht="15" customHeight="1" x14ac:dyDescent="0.35">
      <c r="A16" s="3" t="s">
        <v>99</v>
      </c>
      <c r="B16" s="8" t="s">
        <v>100</v>
      </c>
      <c r="C16" s="8" t="s">
        <v>101</v>
      </c>
      <c r="D16" s="8" t="s">
        <v>51</v>
      </c>
      <c r="E16" s="9">
        <v>130000</v>
      </c>
      <c r="F16" s="10"/>
      <c r="G16" s="9">
        <f t="shared" si="0"/>
        <v>3326300</v>
      </c>
      <c r="H16" s="8" t="s">
        <v>102</v>
      </c>
      <c r="I16" s="8" t="s">
        <v>53</v>
      </c>
    </row>
    <row r="17" spans="1:9" ht="15" customHeight="1" x14ac:dyDescent="0.35">
      <c r="A17" s="6" t="s">
        <v>103</v>
      </c>
      <c r="B17" s="11" t="s">
        <v>104</v>
      </c>
      <c r="C17" s="11" t="s">
        <v>105</v>
      </c>
      <c r="D17" s="11" t="s">
        <v>57</v>
      </c>
      <c r="E17" s="13"/>
      <c r="F17" s="12">
        <v>32000</v>
      </c>
      <c r="G17" s="12">
        <f t="shared" si="0"/>
        <v>3294300</v>
      </c>
      <c r="H17" s="11" t="s">
        <v>106</v>
      </c>
      <c r="I17" s="11" t="s">
        <v>59</v>
      </c>
    </row>
    <row r="18" spans="1:9" ht="15" customHeight="1" x14ac:dyDescent="0.35">
      <c r="A18" s="3" t="s">
        <v>107</v>
      </c>
      <c r="B18" s="8" t="s">
        <v>108</v>
      </c>
      <c r="C18" s="8" t="s">
        <v>109</v>
      </c>
      <c r="D18" s="8" t="s">
        <v>51</v>
      </c>
      <c r="E18" s="9">
        <v>175000</v>
      </c>
      <c r="F18" s="10"/>
      <c r="G18" s="9">
        <f t="shared" si="0"/>
        <v>3469300</v>
      </c>
      <c r="H18" s="8" t="s">
        <v>110</v>
      </c>
      <c r="I18" s="8" t="s">
        <v>53</v>
      </c>
    </row>
    <row r="19" spans="1:9" ht="15" customHeight="1" x14ac:dyDescent="0.35">
      <c r="A19" s="6" t="s">
        <v>111</v>
      </c>
      <c r="B19" s="11" t="s">
        <v>112</v>
      </c>
      <c r="C19" s="11" t="s">
        <v>113</v>
      </c>
      <c r="D19" s="11" t="s">
        <v>57</v>
      </c>
      <c r="E19" s="13"/>
      <c r="F19" s="12">
        <v>45000</v>
      </c>
      <c r="G19" s="12">
        <f t="shared" si="0"/>
        <v>3424300</v>
      </c>
      <c r="H19" s="11" t="s">
        <v>114</v>
      </c>
      <c r="I19" s="11" t="s">
        <v>72</v>
      </c>
    </row>
    <row r="20" spans="1:9" ht="15" customHeight="1" x14ac:dyDescent="0.35">
      <c r="A20" s="3" t="s">
        <v>115</v>
      </c>
      <c r="B20" s="8" t="s">
        <v>116</v>
      </c>
      <c r="C20" s="8" t="s">
        <v>117</v>
      </c>
      <c r="D20" s="8" t="s">
        <v>57</v>
      </c>
      <c r="E20" s="10"/>
      <c r="F20" s="9">
        <v>88000</v>
      </c>
      <c r="G20" s="9">
        <f t="shared" si="0"/>
        <v>3336300</v>
      </c>
      <c r="H20" s="8" t="s">
        <v>118</v>
      </c>
      <c r="I20" s="8" t="s">
        <v>59</v>
      </c>
    </row>
    <row r="21" spans="1:9" ht="15" customHeight="1" x14ac:dyDescent="0.35">
      <c r="A21" s="6" t="s">
        <v>119</v>
      </c>
      <c r="B21" s="11" t="s">
        <v>120</v>
      </c>
      <c r="C21" s="11" t="s">
        <v>121</v>
      </c>
      <c r="D21" s="11" t="s">
        <v>51</v>
      </c>
      <c r="E21" s="12">
        <v>89000</v>
      </c>
      <c r="F21" s="13"/>
      <c r="G21" s="12">
        <f t="shared" si="0"/>
        <v>3425300</v>
      </c>
      <c r="H21" s="11" t="s">
        <v>122</v>
      </c>
      <c r="I21" s="11" t="s">
        <v>53</v>
      </c>
    </row>
    <row r="22" spans="1:9" ht="15" customHeight="1" x14ac:dyDescent="0.35">
      <c r="A22" s="3" t="s">
        <v>123</v>
      </c>
      <c r="B22" s="8" t="s">
        <v>124</v>
      </c>
      <c r="C22" s="8" t="s">
        <v>125</v>
      </c>
      <c r="D22" s="8" t="s">
        <v>57</v>
      </c>
      <c r="E22" s="10"/>
      <c r="F22" s="9">
        <v>15000</v>
      </c>
      <c r="G22" s="9">
        <f t="shared" si="0"/>
        <v>3410300</v>
      </c>
      <c r="H22" s="8" t="s">
        <v>126</v>
      </c>
      <c r="I22" s="8" t="s">
        <v>72</v>
      </c>
    </row>
    <row r="23" spans="1:9" ht="15" customHeight="1" x14ac:dyDescent="0.35">
      <c r="A23" s="6" t="s">
        <v>127</v>
      </c>
      <c r="B23" s="11" t="s">
        <v>128</v>
      </c>
      <c r="C23" s="11" t="s">
        <v>129</v>
      </c>
      <c r="D23" s="11" t="s">
        <v>80</v>
      </c>
      <c r="E23" s="13"/>
      <c r="F23" s="12">
        <v>500</v>
      </c>
      <c r="G23" s="12">
        <f t="shared" si="0"/>
        <v>3409800</v>
      </c>
      <c r="H23" s="11" t="s">
        <v>130</v>
      </c>
      <c r="I23" s="11" t="s">
        <v>82</v>
      </c>
    </row>
    <row r="24" spans="1:9" ht="18" customHeight="1" x14ac:dyDescent="0.35">
      <c r="A24" s="14"/>
      <c r="B24" s="14"/>
      <c r="C24" s="46" t="s">
        <v>131</v>
      </c>
      <c r="D24" s="35"/>
      <c r="E24" s="16">
        <f>SUM(E4:E23)</f>
        <v>4299500</v>
      </c>
      <c r="F24" s="16">
        <f>SUM(F4:F23)</f>
        <v>889700</v>
      </c>
      <c r="G24" s="14"/>
      <c r="H24" s="14"/>
      <c r="I24" s="14"/>
    </row>
    <row r="26" spans="1:9" ht="15" customHeight="1" x14ac:dyDescent="0.35">
      <c r="A26" s="44" t="s">
        <v>132</v>
      </c>
      <c r="B26" s="38"/>
      <c r="C26" s="38"/>
      <c r="D26" s="38"/>
      <c r="E26" s="38"/>
      <c r="F26" s="38"/>
      <c r="G26" s="17">
        <f>G23</f>
        <v>3409800</v>
      </c>
    </row>
  </sheetData>
  <mergeCells count="4">
    <mergeCell ref="A1:I1"/>
    <mergeCell ref="A26:F26"/>
    <mergeCell ref="A2:I2"/>
    <mergeCell ref="C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zoomScaleNormal="100" workbookViewId="0">
      <selection activeCell="E15" sqref="E15"/>
    </sheetView>
  </sheetViews>
  <sheetFormatPr defaultColWidth="8.6328125" defaultRowHeight="14.5" x14ac:dyDescent="0.35"/>
  <cols>
    <col min="1" max="1" width="12" customWidth="1"/>
    <col min="2" max="2" width="40" customWidth="1"/>
    <col min="3" max="3" width="18" customWidth="1"/>
    <col min="4" max="5" width="14" customWidth="1"/>
    <col min="6" max="6" width="16" customWidth="1"/>
    <col min="7" max="7" width="14" customWidth="1"/>
    <col min="8" max="8" width="12" customWidth="1"/>
  </cols>
  <sheetData>
    <row r="1" spans="1:8" ht="21.75" customHeight="1" x14ac:dyDescent="0.35">
      <c r="A1" s="43" t="s">
        <v>133</v>
      </c>
      <c r="B1" s="38"/>
      <c r="C1" s="38"/>
      <c r="D1" s="38"/>
      <c r="E1" s="38"/>
      <c r="F1" s="38"/>
      <c r="G1" s="38"/>
      <c r="H1" s="38"/>
    </row>
    <row r="2" spans="1:8" ht="15.75" customHeight="1" x14ac:dyDescent="0.35">
      <c r="A2" s="45" t="s">
        <v>134</v>
      </c>
      <c r="B2" s="38"/>
      <c r="C2" s="38"/>
      <c r="D2" s="38"/>
      <c r="E2" s="38"/>
      <c r="F2" s="38"/>
      <c r="G2" s="38"/>
      <c r="H2" s="38"/>
    </row>
    <row r="3" spans="1:8" ht="30" customHeight="1" x14ac:dyDescent="0.35">
      <c r="A3" s="2" t="s">
        <v>135</v>
      </c>
      <c r="B3" s="2" t="s">
        <v>15</v>
      </c>
      <c r="C3" s="2" t="s">
        <v>136</v>
      </c>
      <c r="D3" s="2" t="s">
        <v>38</v>
      </c>
      <c r="E3" s="2" t="s">
        <v>39</v>
      </c>
      <c r="F3" s="2" t="s">
        <v>137</v>
      </c>
      <c r="G3" s="2" t="s">
        <v>138</v>
      </c>
      <c r="H3" s="2" t="s">
        <v>139</v>
      </c>
    </row>
    <row r="4" spans="1:8" ht="15" customHeight="1" x14ac:dyDescent="0.35">
      <c r="A4" s="8" t="s">
        <v>49</v>
      </c>
      <c r="B4" s="8" t="s">
        <v>140</v>
      </c>
      <c r="C4" s="8" t="s">
        <v>141</v>
      </c>
      <c r="D4" s="10"/>
      <c r="E4" s="9">
        <v>185000</v>
      </c>
      <c r="F4" s="9">
        <v>3435000</v>
      </c>
      <c r="G4" s="5" t="s">
        <v>142</v>
      </c>
      <c r="H4" s="8" t="s">
        <v>52</v>
      </c>
    </row>
    <row r="5" spans="1:8" ht="15" customHeight="1" x14ac:dyDescent="0.35">
      <c r="A5" s="11" t="s">
        <v>55</v>
      </c>
      <c r="B5" s="11" t="s">
        <v>143</v>
      </c>
      <c r="C5" s="11" t="s">
        <v>144</v>
      </c>
      <c r="D5" s="12">
        <v>95000</v>
      </c>
      <c r="E5" s="13"/>
      <c r="F5" s="12">
        <v>3340000</v>
      </c>
      <c r="G5" s="5" t="s">
        <v>142</v>
      </c>
      <c r="H5" s="11" t="s">
        <v>58</v>
      </c>
    </row>
    <row r="6" spans="1:8" ht="15" customHeight="1" x14ac:dyDescent="0.35">
      <c r="A6" s="8" t="s">
        <v>61</v>
      </c>
      <c r="B6" s="8" t="s">
        <v>145</v>
      </c>
      <c r="C6" s="8" t="s">
        <v>146</v>
      </c>
      <c r="D6" s="9">
        <v>420000</v>
      </c>
      <c r="E6" s="10"/>
      <c r="F6" s="9">
        <v>2920000</v>
      </c>
      <c r="G6" s="5" t="s">
        <v>142</v>
      </c>
      <c r="H6" s="8" t="s">
        <v>63</v>
      </c>
    </row>
    <row r="7" spans="1:8" ht="15" customHeight="1" x14ac:dyDescent="0.35">
      <c r="A7" s="11" t="s">
        <v>147</v>
      </c>
      <c r="B7" s="11" t="s">
        <v>148</v>
      </c>
      <c r="C7" s="11" t="s">
        <v>149</v>
      </c>
      <c r="D7" s="13"/>
      <c r="E7" s="12">
        <v>210000</v>
      </c>
      <c r="F7" s="12">
        <v>3130000</v>
      </c>
      <c r="G7" s="5" t="s">
        <v>142</v>
      </c>
      <c r="H7" s="11" t="s">
        <v>67</v>
      </c>
    </row>
    <row r="8" spans="1:8" ht="15" customHeight="1" x14ac:dyDescent="0.35">
      <c r="A8" s="8" t="s">
        <v>69</v>
      </c>
      <c r="B8" s="8" t="s">
        <v>150</v>
      </c>
      <c r="C8" s="8" t="s">
        <v>151</v>
      </c>
      <c r="D8" s="9">
        <v>75000</v>
      </c>
      <c r="E8" s="10"/>
      <c r="F8" s="9">
        <v>3055000</v>
      </c>
      <c r="G8" s="5" t="s">
        <v>142</v>
      </c>
      <c r="H8" s="8" t="s">
        <v>71</v>
      </c>
    </row>
    <row r="9" spans="1:8" ht="15" customHeight="1" x14ac:dyDescent="0.35">
      <c r="A9" s="11" t="s">
        <v>74</v>
      </c>
      <c r="B9" s="11" t="s">
        <v>152</v>
      </c>
      <c r="C9" s="11" t="s">
        <v>153</v>
      </c>
      <c r="D9" s="13"/>
      <c r="E9" s="12">
        <v>155000</v>
      </c>
      <c r="F9" s="12">
        <v>3210000</v>
      </c>
      <c r="G9" s="5" t="s">
        <v>142</v>
      </c>
      <c r="H9" s="11" t="s">
        <v>76</v>
      </c>
    </row>
    <row r="10" spans="1:8" ht="15" customHeight="1" x14ac:dyDescent="0.35">
      <c r="A10" s="8" t="s">
        <v>78</v>
      </c>
      <c r="B10" s="8" t="s">
        <v>154</v>
      </c>
      <c r="C10" s="8" t="s">
        <v>155</v>
      </c>
      <c r="D10" s="9">
        <v>1200</v>
      </c>
      <c r="E10" s="10"/>
      <c r="F10" s="9">
        <v>3208800</v>
      </c>
      <c r="G10" s="5" t="s">
        <v>142</v>
      </c>
      <c r="H10" s="8" t="s">
        <v>81</v>
      </c>
    </row>
    <row r="11" spans="1:8" ht="15" customHeight="1" x14ac:dyDescent="0.35">
      <c r="A11" s="11" t="s">
        <v>84</v>
      </c>
      <c r="B11" s="11" t="s">
        <v>156</v>
      </c>
      <c r="C11" s="11" t="s">
        <v>157</v>
      </c>
      <c r="D11" s="12">
        <v>68000</v>
      </c>
      <c r="E11" s="13"/>
      <c r="F11" s="12">
        <v>3140800</v>
      </c>
      <c r="G11" s="5" t="s">
        <v>142</v>
      </c>
      <c r="H11" s="11" t="s">
        <v>86</v>
      </c>
    </row>
    <row r="12" spans="1:8" ht="15" customHeight="1" x14ac:dyDescent="0.35">
      <c r="A12" s="8" t="s">
        <v>88</v>
      </c>
      <c r="B12" s="8" t="s">
        <v>158</v>
      </c>
      <c r="C12" s="8" t="s">
        <v>159</v>
      </c>
      <c r="D12" s="10"/>
      <c r="E12" s="9">
        <v>97000</v>
      </c>
      <c r="F12" s="9">
        <v>3237800</v>
      </c>
      <c r="G12" s="5" t="s">
        <v>142</v>
      </c>
      <c r="H12" s="8" t="s">
        <v>90</v>
      </c>
    </row>
    <row r="13" spans="1:8" ht="15" customHeight="1" x14ac:dyDescent="0.35">
      <c r="A13" s="11" t="s">
        <v>160</v>
      </c>
      <c r="B13" s="11" t="s">
        <v>161</v>
      </c>
      <c r="C13" s="11" t="s">
        <v>162</v>
      </c>
      <c r="D13" s="12">
        <v>50000</v>
      </c>
      <c r="E13" s="13"/>
      <c r="F13" s="12">
        <v>3187800</v>
      </c>
      <c r="G13" s="5" t="s">
        <v>142</v>
      </c>
      <c r="H13" s="11" t="s">
        <v>94</v>
      </c>
    </row>
    <row r="14" spans="1:8" ht="15" customHeight="1" x14ac:dyDescent="0.35">
      <c r="A14" s="8" t="s">
        <v>96</v>
      </c>
      <c r="B14" s="8" t="s">
        <v>163</v>
      </c>
      <c r="C14" s="8" t="s">
        <v>164</v>
      </c>
      <c r="D14" s="10"/>
      <c r="E14" s="9">
        <v>8500</v>
      </c>
      <c r="F14" s="9">
        <v>3196300</v>
      </c>
      <c r="G14" s="5" t="s">
        <v>142</v>
      </c>
      <c r="H14" s="8" t="s">
        <v>98</v>
      </c>
    </row>
    <row r="15" spans="1:8" ht="15" customHeight="1" x14ac:dyDescent="0.35">
      <c r="A15" s="11" t="s">
        <v>165</v>
      </c>
      <c r="B15" s="11" t="s">
        <v>166</v>
      </c>
      <c r="C15" s="11" t="s">
        <v>167</v>
      </c>
      <c r="D15" s="13"/>
      <c r="E15" s="12">
        <v>130000</v>
      </c>
      <c r="F15" s="12">
        <v>3326300</v>
      </c>
      <c r="G15" s="5" t="s">
        <v>142</v>
      </c>
      <c r="H15" s="11" t="s">
        <v>102</v>
      </c>
    </row>
    <row r="16" spans="1:8" ht="15" customHeight="1" x14ac:dyDescent="0.35">
      <c r="A16" s="8" t="s">
        <v>104</v>
      </c>
      <c r="B16" s="8" t="s">
        <v>168</v>
      </c>
      <c r="C16" s="8" t="s">
        <v>169</v>
      </c>
      <c r="D16" s="9">
        <v>32000</v>
      </c>
      <c r="E16" s="10"/>
      <c r="F16" s="9">
        <v>3294300</v>
      </c>
      <c r="G16" s="5" t="s">
        <v>142</v>
      </c>
      <c r="H16" s="8" t="s">
        <v>106</v>
      </c>
    </row>
    <row r="17" spans="1:8" ht="15" customHeight="1" x14ac:dyDescent="0.35">
      <c r="A17" s="11" t="s">
        <v>108</v>
      </c>
      <c r="B17" s="11" t="s">
        <v>170</v>
      </c>
      <c r="C17" s="11" t="s">
        <v>171</v>
      </c>
      <c r="D17" s="13"/>
      <c r="E17" s="12">
        <v>175000</v>
      </c>
      <c r="F17" s="12">
        <v>3469300</v>
      </c>
      <c r="G17" s="5" t="s">
        <v>142</v>
      </c>
      <c r="H17" s="11" t="s">
        <v>110</v>
      </c>
    </row>
    <row r="18" spans="1:8" ht="15" customHeight="1" x14ac:dyDescent="0.35">
      <c r="A18" s="8" t="s">
        <v>112</v>
      </c>
      <c r="B18" s="8" t="s">
        <v>172</v>
      </c>
      <c r="C18" s="8" t="s">
        <v>173</v>
      </c>
      <c r="D18" s="9">
        <v>45000</v>
      </c>
      <c r="E18" s="10"/>
      <c r="F18" s="9">
        <v>3424300</v>
      </c>
      <c r="G18" s="5" t="s">
        <v>142</v>
      </c>
      <c r="H18" s="8" t="s">
        <v>114</v>
      </c>
    </row>
    <row r="19" spans="1:8" ht="15" customHeight="1" x14ac:dyDescent="0.35">
      <c r="A19" s="11" t="s">
        <v>174</v>
      </c>
      <c r="B19" s="11" t="s">
        <v>175</v>
      </c>
      <c r="C19" s="11" t="s">
        <v>176</v>
      </c>
      <c r="D19" s="12">
        <v>88000</v>
      </c>
      <c r="E19" s="13"/>
      <c r="F19" s="12">
        <v>3336300</v>
      </c>
      <c r="G19" s="5" t="s">
        <v>142</v>
      </c>
      <c r="H19" s="11" t="s">
        <v>118</v>
      </c>
    </row>
    <row r="20" spans="1:8" ht="15" customHeight="1" x14ac:dyDescent="0.35">
      <c r="A20" s="8" t="s">
        <v>120</v>
      </c>
      <c r="B20" s="8" t="s">
        <v>177</v>
      </c>
      <c r="C20" s="8" t="s">
        <v>178</v>
      </c>
      <c r="D20" s="10"/>
      <c r="E20" s="9">
        <v>89000</v>
      </c>
      <c r="F20" s="9">
        <v>3425300</v>
      </c>
      <c r="G20" s="5" t="s">
        <v>142</v>
      </c>
      <c r="H20" s="8" t="s">
        <v>122</v>
      </c>
    </row>
    <row r="21" spans="1:8" ht="15" customHeight="1" x14ac:dyDescent="0.35">
      <c r="A21" s="11" t="s">
        <v>124</v>
      </c>
      <c r="B21" s="11" t="s">
        <v>179</v>
      </c>
      <c r="C21" s="11" t="s">
        <v>180</v>
      </c>
      <c r="D21" s="12">
        <v>15000</v>
      </c>
      <c r="E21" s="13"/>
      <c r="F21" s="12">
        <v>3410300</v>
      </c>
      <c r="G21" s="5" t="s">
        <v>142</v>
      </c>
      <c r="H21" s="11" t="s">
        <v>126</v>
      </c>
    </row>
    <row r="22" spans="1:8" ht="15" customHeight="1" x14ac:dyDescent="0.35">
      <c r="A22" s="8" t="s">
        <v>181</v>
      </c>
      <c r="B22" s="8" t="s">
        <v>182</v>
      </c>
      <c r="C22" s="8" t="s">
        <v>183</v>
      </c>
      <c r="D22" s="9">
        <v>22000</v>
      </c>
      <c r="E22" s="10"/>
      <c r="F22" s="9">
        <v>3388300</v>
      </c>
      <c r="G22" s="18" t="s">
        <v>184</v>
      </c>
      <c r="H22" s="8"/>
    </row>
    <row r="23" spans="1:8" ht="15" customHeight="1" x14ac:dyDescent="0.35">
      <c r="A23" s="11" t="s">
        <v>128</v>
      </c>
      <c r="B23" s="11" t="s">
        <v>185</v>
      </c>
      <c r="C23" s="11" t="s">
        <v>186</v>
      </c>
      <c r="D23" s="13"/>
      <c r="E23" s="12">
        <v>45000</v>
      </c>
      <c r="F23" s="12">
        <v>3433300</v>
      </c>
      <c r="G23" s="18" t="s">
        <v>184</v>
      </c>
      <c r="H23" s="11"/>
    </row>
    <row r="24" spans="1:8" ht="15" customHeight="1" x14ac:dyDescent="0.35">
      <c r="A24" s="8" t="s">
        <v>128</v>
      </c>
      <c r="B24" s="8" t="s">
        <v>187</v>
      </c>
      <c r="C24" s="8" t="s">
        <v>188</v>
      </c>
      <c r="D24" s="9">
        <v>500</v>
      </c>
      <c r="E24" s="10"/>
      <c r="F24" s="9">
        <v>3432800</v>
      </c>
      <c r="G24" s="5" t="s">
        <v>142</v>
      </c>
      <c r="H24" s="8" t="s">
        <v>130</v>
      </c>
    </row>
    <row r="25" spans="1:8" ht="15" customHeight="1" x14ac:dyDescent="0.35">
      <c r="A25" s="44" t="s">
        <v>189</v>
      </c>
      <c r="B25" s="38"/>
      <c r="C25" s="38"/>
      <c r="D25" s="38"/>
      <c r="E25" s="38"/>
      <c r="F25" s="17">
        <v>3432800</v>
      </c>
    </row>
  </sheetData>
  <mergeCells count="3">
    <mergeCell ref="A2:H2"/>
    <mergeCell ref="A25:E25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A13" zoomScaleNormal="100" workbookViewId="0">
      <selection activeCell="E8" sqref="E8"/>
    </sheetView>
  </sheetViews>
  <sheetFormatPr defaultColWidth="8.6328125" defaultRowHeight="14.5" x14ac:dyDescent="0.35"/>
  <cols>
    <col min="1" max="1" width="5" customWidth="1"/>
    <col min="2" max="2" width="28" customWidth="1"/>
    <col min="3" max="3" width="12" customWidth="1"/>
    <col min="4" max="5" width="14" customWidth="1"/>
    <col min="6" max="6" width="38" customWidth="1"/>
  </cols>
  <sheetData>
    <row r="1" spans="1:6" ht="21.75" customHeight="1" x14ac:dyDescent="0.35">
      <c r="A1" s="43" t="s">
        <v>190</v>
      </c>
      <c r="B1" s="38"/>
      <c r="C1" s="38"/>
      <c r="D1" s="38"/>
      <c r="E1" s="38"/>
      <c r="F1" s="38"/>
    </row>
    <row r="2" spans="1:6" ht="7.5" customHeight="1" x14ac:dyDescent="0.35"/>
    <row r="3" spans="1:6" ht="21.75" customHeight="1" x14ac:dyDescent="0.35">
      <c r="A3" s="51" t="s">
        <v>191</v>
      </c>
      <c r="B3" s="38"/>
      <c r="C3" s="38"/>
      <c r="D3" s="38"/>
      <c r="E3" s="38"/>
      <c r="F3" s="38"/>
    </row>
    <row r="4" spans="1:6" ht="30" customHeight="1" x14ac:dyDescent="0.35">
      <c r="A4" s="2"/>
      <c r="B4" s="36" t="s">
        <v>192</v>
      </c>
      <c r="C4" s="34"/>
      <c r="D4" s="35"/>
      <c r="E4" s="36" t="s">
        <v>193</v>
      </c>
      <c r="F4" s="35"/>
    </row>
    <row r="5" spans="1:6" ht="18" customHeight="1" x14ac:dyDescent="0.35">
      <c r="B5" s="53" t="s">
        <v>194</v>
      </c>
      <c r="C5" s="34"/>
      <c r="D5" s="34"/>
      <c r="E5" s="19">
        <f>'GL Data'!G26</f>
        <v>3409800</v>
      </c>
      <c r="F5" s="20"/>
    </row>
    <row r="6" spans="1:6" ht="18" customHeight="1" x14ac:dyDescent="0.35">
      <c r="B6" s="49" t="s">
        <v>195</v>
      </c>
      <c r="C6" s="34"/>
      <c r="D6" s="34"/>
      <c r="E6" s="10"/>
      <c r="F6" s="21"/>
    </row>
    <row r="7" spans="1:6" ht="18" customHeight="1" x14ac:dyDescent="0.35">
      <c r="B7" s="39" t="s">
        <v>196</v>
      </c>
      <c r="C7" s="34"/>
      <c r="D7" s="34"/>
      <c r="E7" s="12">
        <v>45000</v>
      </c>
      <c r="F7" s="22" t="s">
        <v>197</v>
      </c>
    </row>
    <row r="8" spans="1:6" ht="18" customHeight="1" x14ac:dyDescent="0.35">
      <c r="B8" s="49" t="s">
        <v>198</v>
      </c>
      <c r="C8" s="34"/>
      <c r="D8" s="34"/>
      <c r="E8" s="10"/>
      <c r="F8" s="21"/>
    </row>
    <row r="9" spans="1:6" ht="18" customHeight="1" x14ac:dyDescent="0.35">
      <c r="B9" s="39" t="s">
        <v>199</v>
      </c>
      <c r="C9" s="34"/>
      <c r="D9" s="34"/>
      <c r="E9" s="12">
        <v>-22000</v>
      </c>
      <c r="F9" s="22" t="s">
        <v>197</v>
      </c>
    </row>
    <row r="10" spans="1:6" ht="18" customHeight="1" x14ac:dyDescent="0.35">
      <c r="B10" s="40" t="s">
        <v>200</v>
      </c>
      <c r="C10" s="34"/>
      <c r="D10" s="34"/>
      <c r="E10" s="9">
        <v>0</v>
      </c>
      <c r="F10" s="21" t="s">
        <v>201</v>
      </c>
    </row>
    <row r="11" spans="1:6" ht="19.5" customHeight="1" x14ac:dyDescent="0.35">
      <c r="B11" s="47" t="s">
        <v>202</v>
      </c>
      <c r="C11" s="34"/>
      <c r="D11" s="34"/>
      <c r="E11" s="23">
        <f>E5+E7+E8</f>
        <v>3454800</v>
      </c>
      <c r="F11" s="24"/>
    </row>
    <row r="13" spans="1:6" ht="21.75" customHeight="1" x14ac:dyDescent="0.35">
      <c r="A13" s="51" t="s">
        <v>203</v>
      </c>
      <c r="B13" s="38"/>
      <c r="C13" s="38"/>
      <c r="D13" s="38"/>
      <c r="E13" s="38"/>
      <c r="F13" s="38"/>
    </row>
    <row r="14" spans="1:6" ht="30" customHeight="1" x14ac:dyDescent="0.35">
      <c r="A14" s="2"/>
      <c r="B14" s="36" t="s">
        <v>192</v>
      </c>
      <c r="C14" s="34"/>
      <c r="D14" s="35"/>
      <c r="E14" s="36" t="s">
        <v>193</v>
      </c>
      <c r="F14" s="35"/>
    </row>
    <row r="15" spans="1:6" ht="18" customHeight="1" x14ac:dyDescent="0.35">
      <c r="B15" s="53" t="s">
        <v>204</v>
      </c>
      <c r="C15" s="34"/>
      <c r="D15" s="34"/>
      <c r="E15" s="19">
        <v>3432800</v>
      </c>
      <c r="F15" s="20"/>
    </row>
    <row r="16" spans="1:6" ht="18" customHeight="1" x14ac:dyDescent="0.35">
      <c r="B16" s="49" t="s">
        <v>205</v>
      </c>
      <c r="C16" s="34"/>
      <c r="D16" s="34"/>
      <c r="E16" s="10"/>
      <c r="F16" s="21"/>
    </row>
    <row r="17" spans="1:6" ht="18" customHeight="1" x14ac:dyDescent="0.35">
      <c r="B17" s="39" t="s">
        <v>206</v>
      </c>
      <c r="C17" s="34"/>
      <c r="D17" s="34"/>
      <c r="E17" s="12">
        <v>0</v>
      </c>
      <c r="F17" s="22"/>
    </row>
    <row r="18" spans="1:6" ht="18" customHeight="1" x14ac:dyDescent="0.35">
      <c r="B18" s="49" t="s">
        <v>207</v>
      </c>
      <c r="C18" s="34"/>
      <c r="D18" s="34"/>
      <c r="E18" s="10"/>
      <c r="F18" s="21"/>
    </row>
    <row r="19" spans="1:6" ht="18" customHeight="1" x14ac:dyDescent="0.35">
      <c r="B19" s="39" t="s">
        <v>208</v>
      </c>
      <c r="C19" s="34"/>
      <c r="D19" s="34"/>
      <c r="E19" s="12">
        <v>0</v>
      </c>
      <c r="F19" s="22"/>
    </row>
    <row r="20" spans="1:6" ht="19.5" customHeight="1" x14ac:dyDescent="0.35">
      <c r="B20" s="47" t="s">
        <v>209</v>
      </c>
      <c r="C20" s="34"/>
      <c r="D20" s="34"/>
      <c r="E20" s="23">
        <v>3432800</v>
      </c>
      <c r="F20" s="24"/>
    </row>
    <row r="22" spans="1:6" ht="21.75" customHeight="1" x14ac:dyDescent="0.35">
      <c r="A22" s="52" t="s">
        <v>210</v>
      </c>
      <c r="B22" s="38"/>
      <c r="C22" s="38"/>
      <c r="D22" s="38"/>
      <c r="E22" s="38"/>
      <c r="F22" s="38"/>
    </row>
    <row r="23" spans="1:6" ht="19.5" customHeight="1" x14ac:dyDescent="0.35">
      <c r="B23" s="48" t="s">
        <v>211</v>
      </c>
      <c r="C23" s="34"/>
      <c r="D23" s="34"/>
      <c r="E23" s="25">
        <f>E11-E20</f>
        <v>22000</v>
      </c>
    </row>
    <row r="24" spans="1:6" ht="18" customHeight="1" x14ac:dyDescent="0.35">
      <c r="B24" s="54" t="s">
        <v>212</v>
      </c>
      <c r="C24" s="34"/>
      <c r="D24" s="34"/>
      <c r="E24" s="26" t="str">
        <f>IF(E23=0,"✔ RECONCILED","✘ DIFFERENCE EXISTS")</f>
        <v>✘ DIFFERENCE EXISTS</v>
      </c>
    </row>
    <row r="26" spans="1:6" ht="21.75" customHeight="1" x14ac:dyDescent="0.35">
      <c r="A26" s="50" t="s">
        <v>213</v>
      </c>
      <c r="B26" s="38"/>
      <c r="C26" s="38"/>
      <c r="D26" s="38"/>
      <c r="E26" s="38"/>
      <c r="F26" s="38"/>
    </row>
    <row r="27" spans="1:6" ht="30" customHeight="1" x14ac:dyDescent="0.35">
      <c r="A27" s="2" t="s">
        <v>13</v>
      </c>
      <c r="B27" s="36" t="s">
        <v>15</v>
      </c>
      <c r="C27" s="35"/>
      <c r="D27" s="2" t="s">
        <v>36</v>
      </c>
      <c r="E27" s="2" t="s">
        <v>193</v>
      </c>
      <c r="F27" s="2" t="s">
        <v>214</v>
      </c>
    </row>
    <row r="28" spans="1:6" ht="19.5" customHeight="1" x14ac:dyDescent="0.35">
      <c r="A28" s="3" t="s">
        <v>17</v>
      </c>
      <c r="B28" s="40" t="s">
        <v>215</v>
      </c>
      <c r="C28" s="34"/>
      <c r="D28" s="27" t="s">
        <v>216</v>
      </c>
      <c r="E28" s="9">
        <v>22000</v>
      </c>
      <c r="F28" s="28" t="s">
        <v>217</v>
      </c>
    </row>
    <row r="29" spans="1:6" ht="19.5" customHeight="1" x14ac:dyDescent="0.35">
      <c r="A29" s="6" t="s">
        <v>21</v>
      </c>
      <c r="B29" s="39" t="s">
        <v>218</v>
      </c>
      <c r="C29" s="34"/>
      <c r="D29" s="27" t="s">
        <v>216</v>
      </c>
      <c r="E29" s="12">
        <v>45000</v>
      </c>
      <c r="F29" s="29" t="s">
        <v>219</v>
      </c>
    </row>
  </sheetData>
  <mergeCells count="27">
    <mergeCell ref="A1:F1"/>
    <mergeCell ref="B18:D18"/>
    <mergeCell ref="B29:C29"/>
    <mergeCell ref="A13:F13"/>
    <mergeCell ref="B4:D4"/>
    <mergeCell ref="B28:C28"/>
    <mergeCell ref="B7:D7"/>
    <mergeCell ref="B16:D16"/>
    <mergeCell ref="E14:F14"/>
    <mergeCell ref="B27:C27"/>
    <mergeCell ref="A26:F26"/>
    <mergeCell ref="A3:F3"/>
    <mergeCell ref="B10:D10"/>
    <mergeCell ref="E4:F4"/>
    <mergeCell ref="B19:D19"/>
    <mergeCell ref="B9:D9"/>
    <mergeCell ref="A22:F22"/>
    <mergeCell ref="B15:D15"/>
    <mergeCell ref="B6:D6"/>
    <mergeCell ref="B24:D24"/>
    <mergeCell ref="B20:D20"/>
    <mergeCell ref="B5:D5"/>
    <mergeCell ref="B11:D11"/>
    <mergeCell ref="B14:D14"/>
    <mergeCell ref="B23:D23"/>
    <mergeCell ref="B8:D8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6" customWidth="1"/>
    <col min="4" max="5" width="14" customWidth="1"/>
    <col min="6" max="6" width="16" customWidth="1"/>
    <col min="7" max="7" width="14" customWidth="1"/>
    <col min="8" max="8" width="32" customWidth="1"/>
  </cols>
  <sheetData>
    <row r="1" spans="1:8" ht="21.75" customHeight="1" x14ac:dyDescent="0.35">
      <c r="A1" s="43" t="s">
        <v>220</v>
      </c>
      <c r="B1" s="38"/>
      <c r="C1" s="38"/>
      <c r="D1" s="38"/>
      <c r="E1" s="38"/>
      <c r="F1" s="38"/>
      <c r="G1" s="38"/>
      <c r="H1" s="38"/>
    </row>
    <row r="3" spans="1:8" ht="21.75" customHeight="1" x14ac:dyDescent="0.35">
      <c r="A3" s="51" t="s">
        <v>221</v>
      </c>
      <c r="B3" s="38"/>
      <c r="C3" s="38"/>
      <c r="D3" s="38"/>
      <c r="E3" s="38"/>
      <c r="F3" s="38"/>
      <c r="G3" s="38"/>
      <c r="H3" s="38"/>
    </row>
    <row r="4" spans="1:8" ht="30" customHeight="1" x14ac:dyDescent="0.35">
      <c r="A4" s="2" t="s">
        <v>222</v>
      </c>
      <c r="B4" s="2" t="s">
        <v>223</v>
      </c>
      <c r="C4" s="2" t="s">
        <v>224</v>
      </c>
      <c r="D4" s="2" t="s">
        <v>225</v>
      </c>
      <c r="E4" s="2" t="s">
        <v>16</v>
      </c>
      <c r="F4" s="2" t="s">
        <v>226</v>
      </c>
      <c r="G4" s="2" t="s">
        <v>227</v>
      </c>
      <c r="H4" s="2" t="s">
        <v>228</v>
      </c>
    </row>
    <row r="5" spans="1:8" ht="18" customHeight="1" x14ac:dyDescent="0.35">
      <c r="A5" s="8" t="s">
        <v>229</v>
      </c>
      <c r="B5" s="9">
        <v>0</v>
      </c>
      <c r="C5" s="9">
        <v>0</v>
      </c>
      <c r="D5" s="30">
        <v>0</v>
      </c>
      <c r="E5" s="5" t="s">
        <v>230</v>
      </c>
      <c r="F5" s="3" t="s">
        <v>231</v>
      </c>
      <c r="G5" s="3" t="s">
        <v>128</v>
      </c>
      <c r="H5" s="8"/>
    </row>
    <row r="6" spans="1:8" ht="18" customHeight="1" x14ac:dyDescent="0.35">
      <c r="A6" s="11" t="s">
        <v>232</v>
      </c>
      <c r="B6" s="12">
        <v>88000</v>
      </c>
      <c r="C6" s="12">
        <v>88000</v>
      </c>
      <c r="D6" s="30">
        <v>0</v>
      </c>
      <c r="E6" s="5" t="s">
        <v>230</v>
      </c>
      <c r="F6" s="6" t="s">
        <v>233</v>
      </c>
      <c r="G6" s="6" t="s">
        <v>234</v>
      </c>
      <c r="H6" s="11"/>
    </row>
    <row r="7" spans="1:8" ht="18" customHeight="1" x14ac:dyDescent="0.35">
      <c r="A7" s="8" t="s">
        <v>235</v>
      </c>
      <c r="B7" s="9">
        <v>174000</v>
      </c>
      <c r="C7" s="9">
        <v>174000</v>
      </c>
      <c r="D7" s="30">
        <v>0</v>
      </c>
      <c r="E7" s="5" t="s">
        <v>230</v>
      </c>
      <c r="F7" s="3" t="s">
        <v>233</v>
      </c>
      <c r="G7" s="3" t="s">
        <v>234</v>
      </c>
      <c r="H7" s="8"/>
    </row>
    <row r="8" spans="1:8" ht="18" customHeight="1" x14ac:dyDescent="0.35">
      <c r="A8" s="11" t="s">
        <v>236</v>
      </c>
      <c r="B8" s="12">
        <v>89000</v>
      </c>
      <c r="C8" s="12">
        <v>89000</v>
      </c>
      <c r="D8" s="30">
        <v>0</v>
      </c>
      <c r="E8" s="5" t="s">
        <v>230</v>
      </c>
      <c r="F8" s="6" t="s">
        <v>233</v>
      </c>
      <c r="G8" s="6" t="s">
        <v>234</v>
      </c>
      <c r="H8" s="11"/>
    </row>
    <row r="9" spans="1:8" ht="18" customHeight="1" x14ac:dyDescent="0.35">
      <c r="A9" s="8" t="s">
        <v>237</v>
      </c>
      <c r="B9" s="9">
        <v>37000</v>
      </c>
      <c r="C9" s="9">
        <v>37000</v>
      </c>
      <c r="D9" s="30">
        <v>0</v>
      </c>
      <c r="E9" s="5" t="s">
        <v>230</v>
      </c>
      <c r="F9" s="3" t="s">
        <v>233</v>
      </c>
      <c r="G9" s="3" t="s">
        <v>234</v>
      </c>
      <c r="H9" s="8"/>
    </row>
    <row r="10" spans="1:8" ht="18" customHeight="1" x14ac:dyDescent="0.35">
      <c r="A10" s="11" t="s">
        <v>238</v>
      </c>
      <c r="B10" s="12">
        <v>112000</v>
      </c>
      <c r="C10" s="12">
        <v>112000</v>
      </c>
      <c r="D10" s="30">
        <v>0</v>
      </c>
      <c r="E10" s="5" t="s">
        <v>230</v>
      </c>
      <c r="F10" s="6" t="s">
        <v>233</v>
      </c>
      <c r="G10" s="6" t="s">
        <v>234</v>
      </c>
      <c r="H10" s="11"/>
    </row>
    <row r="11" spans="1:8" ht="18" customHeight="1" x14ac:dyDescent="0.35">
      <c r="A11" s="8" t="s">
        <v>239</v>
      </c>
      <c r="B11" s="9">
        <v>86000</v>
      </c>
      <c r="C11" s="9">
        <v>86000</v>
      </c>
      <c r="D11" s="30">
        <v>0</v>
      </c>
      <c r="E11" s="5" t="s">
        <v>230</v>
      </c>
      <c r="F11" s="3" t="s">
        <v>233</v>
      </c>
      <c r="G11" s="3" t="s">
        <v>234</v>
      </c>
      <c r="H11" s="8"/>
    </row>
    <row r="12" spans="1:8" ht="18" customHeight="1" x14ac:dyDescent="0.35">
      <c r="A12" s="11" t="s">
        <v>240</v>
      </c>
      <c r="B12" s="12">
        <v>0</v>
      </c>
      <c r="C12" s="12">
        <v>0</v>
      </c>
      <c r="D12" s="30">
        <v>0</v>
      </c>
      <c r="E12" s="5" t="s">
        <v>230</v>
      </c>
      <c r="F12" s="6" t="s">
        <v>231</v>
      </c>
      <c r="G12" s="6" t="s">
        <v>128</v>
      </c>
      <c r="H12" s="11"/>
    </row>
    <row r="13" spans="1:8" ht="18" customHeight="1" x14ac:dyDescent="0.35">
      <c r="A13" s="8" t="s">
        <v>241</v>
      </c>
      <c r="B13" s="9">
        <v>100000</v>
      </c>
      <c r="C13" s="9">
        <v>55000</v>
      </c>
      <c r="D13" s="31">
        <v>45000</v>
      </c>
      <c r="E13" s="18" t="s">
        <v>242</v>
      </c>
      <c r="F13" s="3" t="s">
        <v>233</v>
      </c>
      <c r="G13" s="3" t="s">
        <v>234</v>
      </c>
      <c r="H13" s="8" t="s">
        <v>243</v>
      </c>
    </row>
    <row r="14" spans="1:8" ht="18" customHeight="1" x14ac:dyDescent="0.35">
      <c r="A14" s="11" t="s">
        <v>244</v>
      </c>
      <c r="B14" s="12">
        <v>125500</v>
      </c>
      <c r="C14" s="12">
        <v>125500</v>
      </c>
      <c r="D14" s="30">
        <v>0</v>
      </c>
      <c r="E14" s="5" t="s">
        <v>230</v>
      </c>
      <c r="F14" s="6" t="s">
        <v>233</v>
      </c>
      <c r="G14" s="6" t="s">
        <v>234</v>
      </c>
      <c r="H14" s="11"/>
    </row>
    <row r="15" spans="1:8" ht="18" customHeight="1" x14ac:dyDescent="0.35">
      <c r="A15" s="8" t="s">
        <v>245</v>
      </c>
      <c r="B15" s="9">
        <v>85000</v>
      </c>
      <c r="C15" s="9">
        <v>85000</v>
      </c>
      <c r="D15" s="30">
        <v>0</v>
      </c>
      <c r="E15" s="5" t="s">
        <v>230</v>
      </c>
      <c r="F15" s="3" t="s">
        <v>233</v>
      </c>
      <c r="G15" s="3" t="s">
        <v>234</v>
      </c>
      <c r="H15" s="8"/>
    </row>
    <row r="16" spans="1:8" ht="18" customHeight="1" x14ac:dyDescent="0.35">
      <c r="A16" s="11" t="s">
        <v>246</v>
      </c>
      <c r="B16" s="12">
        <v>31000</v>
      </c>
      <c r="C16" s="12">
        <v>31000</v>
      </c>
      <c r="D16" s="30">
        <v>0</v>
      </c>
      <c r="E16" s="5" t="s">
        <v>230</v>
      </c>
      <c r="F16" s="6" t="s">
        <v>233</v>
      </c>
      <c r="G16" s="6" t="s">
        <v>234</v>
      </c>
      <c r="H16" s="11"/>
    </row>
    <row r="17" spans="1:8" ht="18" customHeight="1" x14ac:dyDescent="0.35">
      <c r="A17" s="8" t="s">
        <v>247</v>
      </c>
      <c r="B17" s="9">
        <v>0</v>
      </c>
      <c r="C17" s="9">
        <v>0</v>
      </c>
      <c r="D17" s="30">
        <v>0</v>
      </c>
      <c r="E17" s="5" t="s">
        <v>230</v>
      </c>
      <c r="F17" s="3" t="s">
        <v>231</v>
      </c>
      <c r="G17" s="3" t="s">
        <v>128</v>
      </c>
      <c r="H17" s="8"/>
    </row>
    <row r="18" spans="1:8" ht="19.5" customHeight="1" x14ac:dyDescent="0.35">
      <c r="A18" s="15" t="s">
        <v>248</v>
      </c>
      <c r="B18" s="16">
        <v>927500</v>
      </c>
      <c r="C18" s="16">
        <v>882500</v>
      </c>
      <c r="D18" s="16">
        <v>45000</v>
      </c>
      <c r="E18" s="14"/>
      <c r="F18" s="14"/>
      <c r="G18" s="14"/>
      <c r="H18" s="14"/>
    </row>
    <row r="20" spans="1:8" ht="21.75" customHeight="1" x14ac:dyDescent="0.35">
      <c r="A20" s="51" t="s">
        <v>249</v>
      </c>
      <c r="B20" s="38"/>
      <c r="C20" s="38"/>
      <c r="D20" s="38"/>
      <c r="E20" s="38"/>
      <c r="F20" s="38"/>
      <c r="G20" s="38"/>
      <c r="H20" s="38"/>
    </row>
    <row r="21" spans="1:8" ht="30" customHeight="1" x14ac:dyDescent="0.35">
      <c r="A21" s="2" t="s">
        <v>250</v>
      </c>
      <c r="B21" s="2" t="s">
        <v>223</v>
      </c>
      <c r="C21" s="2" t="s">
        <v>224</v>
      </c>
      <c r="D21" s="2" t="s">
        <v>225</v>
      </c>
      <c r="E21" s="2" t="s">
        <v>16</v>
      </c>
      <c r="F21" s="2" t="s">
        <v>251</v>
      </c>
      <c r="G21" s="2" t="s">
        <v>252</v>
      </c>
      <c r="H21" s="2" t="s">
        <v>228</v>
      </c>
    </row>
    <row r="22" spans="1:8" ht="18" customHeight="1" x14ac:dyDescent="0.35">
      <c r="A22" s="8" t="s">
        <v>253</v>
      </c>
      <c r="B22" s="9">
        <v>95000</v>
      </c>
      <c r="C22" s="9">
        <v>95000</v>
      </c>
      <c r="D22" s="30">
        <v>0</v>
      </c>
      <c r="E22" s="5" t="s">
        <v>230</v>
      </c>
      <c r="F22" s="8" t="s">
        <v>254</v>
      </c>
      <c r="G22" s="8" t="s">
        <v>58</v>
      </c>
      <c r="H22" s="8"/>
    </row>
    <row r="23" spans="1:8" ht="18" customHeight="1" x14ac:dyDescent="0.35">
      <c r="A23" s="11" t="s">
        <v>246</v>
      </c>
      <c r="B23" s="12">
        <v>68000</v>
      </c>
      <c r="C23" s="12">
        <v>68000</v>
      </c>
      <c r="D23" s="30">
        <v>0</v>
      </c>
      <c r="E23" s="5" t="s">
        <v>230</v>
      </c>
      <c r="F23" s="11" t="s">
        <v>233</v>
      </c>
      <c r="G23" s="11" t="s">
        <v>86</v>
      </c>
      <c r="H23" s="11"/>
    </row>
    <row r="24" spans="1:8" ht="18" customHeight="1" x14ac:dyDescent="0.35">
      <c r="A24" s="8" t="s">
        <v>255</v>
      </c>
      <c r="B24" s="9">
        <v>88000</v>
      </c>
      <c r="C24" s="9">
        <v>88000</v>
      </c>
      <c r="D24" s="30">
        <v>0</v>
      </c>
      <c r="E24" s="5" t="s">
        <v>230</v>
      </c>
      <c r="F24" s="8" t="s">
        <v>256</v>
      </c>
      <c r="G24" s="8" t="s">
        <v>118</v>
      </c>
      <c r="H24" s="8"/>
    </row>
    <row r="25" spans="1:8" ht="18" customHeight="1" x14ac:dyDescent="0.35">
      <c r="A25" s="11" t="s">
        <v>257</v>
      </c>
      <c r="B25" s="12">
        <v>50000</v>
      </c>
      <c r="C25" s="12">
        <v>50000</v>
      </c>
      <c r="D25" s="30">
        <v>0</v>
      </c>
      <c r="E25" s="5" t="s">
        <v>230</v>
      </c>
      <c r="F25" s="11" t="s">
        <v>258</v>
      </c>
      <c r="G25" s="11" t="s">
        <v>94</v>
      </c>
      <c r="H25" s="11"/>
    </row>
    <row r="26" spans="1:8" ht="18" customHeight="1" x14ac:dyDescent="0.35">
      <c r="A26" s="8" t="s">
        <v>259</v>
      </c>
      <c r="B26" s="9">
        <v>120000</v>
      </c>
      <c r="C26" s="9">
        <v>120000</v>
      </c>
      <c r="D26" s="30">
        <v>0</v>
      </c>
      <c r="E26" s="5" t="s">
        <v>230</v>
      </c>
      <c r="F26" s="8" t="s">
        <v>260</v>
      </c>
      <c r="G26" s="8" t="s">
        <v>261</v>
      </c>
      <c r="H26" s="8"/>
    </row>
    <row r="27" spans="1:8" ht="18" customHeight="1" x14ac:dyDescent="0.35">
      <c r="A27" s="11" t="s">
        <v>262</v>
      </c>
      <c r="B27" s="12">
        <v>45000</v>
      </c>
      <c r="C27" s="12">
        <v>45000</v>
      </c>
      <c r="D27" s="30">
        <v>0</v>
      </c>
      <c r="E27" s="5" t="s">
        <v>230</v>
      </c>
      <c r="F27" s="11" t="s">
        <v>263</v>
      </c>
      <c r="G27" s="11" t="s">
        <v>264</v>
      </c>
      <c r="H27" s="11"/>
    </row>
    <row r="28" spans="1:8" ht="18" customHeight="1" x14ac:dyDescent="0.35">
      <c r="A28" s="8" t="s">
        <v>265</v>
      </c>
      <c r="B28" s="9">
        <v>33000</v>
      </c>
      <c r="C28" s="9">
        <v>33000</v>
      </c>
      <c r="D28" s="30">
        <v>0</v>
      </c>
      <c r="E28" s="5" t="s">
        <v>230</v>
      </c>
      <c r="F28" s="8" t="s">
        <v>266</v>
      </c>
      <c r="G28" s="8" t="s">
        <v>267</v>
      </c>
      <c r="H28" s="8"/>
    </row>
    <row r="29" spans="1:8" ht="18" customHeight="1" x14ac:dyDescent="0.35">
      <c r="A29" s="11" t="s">
        <v>268</v>
      </c>
      <c r="B29" s="12">
        <v>72000</v>
      </c>
      <c r="C29" s="12">
        <v>72000</v>
      </c>
      <c r="D29" s="30">
        <v>0</v>
      </c>
      <c r="E29" s="5" t="s">
        <v>230</v>
      </c>
      <c r="F29" s="11" t="s">
        <v>269</v>
      </c>
      <c r="G29" s="11" t="s">
        <v>270</v>
      </c>
      <c r="H29" s="11"/>
    </row>
    <row r="30" spans="1:8" ht="18" customHeight="1" x14ac:dyDescent="0.35">
      <c r="A30" s="8" t="s">
        <v>271</v>
      </c>
      <c r="B30" s="9">
        <v>28000</v>
      </c>
      <c r="C30" s="9">
        <v>28000</v>
      </c>
      <c r="D30" s="30">
        <v>0</v>
      </c>
      <c r="E30" s="5" t="s">
        <v>230</v>
      </c>
      <c r="F30" s="8" t="s">
        <v>272</v>
      </c>
      <c r="G30" s="8" t="s">
        <v>273</v>
      </c>
      <c r="H30" s="8"/>
    </row>
    <row r="31" spans="1:8" ht="18" customHeight="1" x14ac:dyDescent="0.35">
      <c r="A31" s="11" t="s">
        <v>274</v>
      </c>
      <c r="B31" s="12">
        <v>65000</v>
      </c>
      <c r="C31" s="12">
        <v>75000</v>
      </c>
      <c r="D31" s="31">
        <v>-10000</v>
      </c>
      <c r="E31" s="18" t="s">
        <v>242</v>
      </c>
      <c r="F31" s="11" t="s">
        <v>275</v>
      </c>
      <c r="G31" s="11" t="s">
        <v>276</v>
      </c>
      <c r="H31" s="11" t="s">
        <v>277</v>
      </c>
    </row>
    <row r="32" spans="1:8" ht="19.5" customHeight="1" x14ac:dyDescent="0.35">
      <c r="A32" s="15" t="s">
        <v>248</v>
      </c>
      <c r="B32" s="16">
        <v>664000</v>
      </c>
      <c r="C32" s="16">
        <v>674000</v>
      </c>
      <c r="D32" s="16">
        <v>-10000</v>
      </c>
      <c r="E32" s="14"/>
      <c r="F32" s="14"/>
      <c r="G32" s="14"/>
      <c r="H32" s="14"/>
    </row>
  </sheetData>
  <mergeCells count="3">
    <mergeCell ref="A20:H20"/>
    <mergeCell ref="A3:H3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showGridLines="0" tabSelected="1" topLeftCell="D11" zoomScaleNormal="100" workbookViewId="0">
      <selection sqref="A1:G1"/>
    </sheetView>
  </sheetViews>
  <sheetFormatPr defaultColWidth="8.6328125" defaultRowHeight="14.5" x14ac:dyDescent="0.35"/>
  <cols>
    <col min="1" max="1" width="5" customWidth="1"/>
    <col min="2" max="2" width="38" customWidth="1"/>
    <col min="3" max="4" width="16" customWidth="1"/>
    <col min="5" max="5" width="14" customWidth="1"/>
    <col min="6" max="6" width="16" customWidth="1"/>
    <col min="7" max="7" width="30" customWidth="1"/>
  </cols>
  <sheetData>
    <row r="1" spans="1:7" ht="21.75" customHeight="1" x14ac:dyDescent="0.35">
      <c r="A1" s="43" t="s">
        <v>278</v>
      </c>
      <c r="B1" s="38"/>
      <c r="C1" s="38"/>
      <c r="D1" s="38"/>
      <c r="E1" s="38"/>
      <c r="F1" s="38"/>
      <c r="G1" s="38"/>
    </row>
    <row r="2" spans="1:7" ht="7.5" customHeight="1" x14ac:dyDescent="0.35"/>
    <row r="3" spans="1:7" ht="21.75" customHeight="1" x14ac:dyDescent="0.35">
      <c r="A3" s="51" t="s">
        <v>279</v>
      </c>
      <c r="B3" s="38"/>
      <c r="C3" s="38"/>
      <c r="D3" s="38"/>
      <c r="E3" s="38"/>
      <c r="F3" s="38"/>
      <c r="G3" s="38"/>
    </row>
    <row r="4" spans="1:7" ht="13.5" customHeight="1" x14ac:dyDescent="0.35">
      <c r="A4" s="59" t="s">
        <v>280</v>
      </c>
      <c r="B4" s="34"/>
      <c r="C4" s="59" t="s">
        <v>281</v>
      </c>
      <c r="D4" s="34"/>
      <c r="E4" s="59" t="s">
        <v>282</v>
      </c>
      <c r="F4" s="34"/>
    </row>
    <row r="5" spans="1:7" ht="21.75" customHeight="1" x14ac:dyDescent="0.35">
      <c r="A5" s="57">
        <f>'Bank Recon'!E5</f>
        <v>3409800</v>
      </c>
      <c r="B5" s="34"/>
      <c r="C5" s="57">
        <f>'Bank Recon'!E18</f>
        <v>0</v>
      </c>
      <c r="D5" s="34"/>
      <c r="E5" s="57">
        <f>C5-A5</f>
        <v>-3409800</v>
      </c>
      <c r="F5" s="34"/>
    </row>
    <row r="7" spans="1:7" ht="13.5" customHeight="1" x14ac:dyDescent="0.35">
      <c r="A7" s="59" t="s">
        <v>283</v>
      </c>
      <c r="B7" s="34"/>
      <c r="C7" s="59" t="s">
        <v>284</v>
      </c>
      <c r="D7" s="34"/>
      <c r="E7" s="59" t="s">
        <v>285</v>
      </c>
      <c r="F7" s="34"/>
    </row>
    <row r="8" spans="1:7" ht="21.75" customHeight="1" x14ac:dyDescent="0.35">
      <c r="A8" s="56" t="s">
        <v>286</v>
      </c>
      <c r="B8" s="34"/>
      <c r="C8" s="60" t="s">
        <v>287</v>
      </c>
      <c r="D8" s="34"/>
      <c r="E8" s="58" t="s">
        <v>288</v>
      </c>
      <c r="F8" s="34"/>
    </row>
    <row r="10" spans="1:7" ht="13.5" customHeight="1" x14ac:dyDescent="0.35">
      <c r="A10" s="59" t="s">
        <v>289</v>
      </c>
      <c r="B10" s="34"/>
      <c r="C10" s="59" t="s">
        <v>290</v>
      </c>
      <c r="D10" s="34"/>
      <c r="E10" s="59" t="s">
        <v>291</v>
      </c>
      <c r="F10" s="34"/>
    </row>
    <row r="11" spans="1:7" ht="21.75" customHeight="1" x14ac:dyDescent="0.35">
      <c r="A11" s="56" t="s">
        <v>292</v>
      </c>
      <c r="B11" s="34"/>
      <c r="C11" s="56" t="s">
        <v>293</v>
      </c>
      <c r="D11" s="34"/>
      <c r="E11" s="60" t="s">
        <v>294</v>
      </c>
      <c r="F11" s="34"/>
    </row>
    <row r="17" spans="1:7" ht="7.5" customHeight="1" x14ac:dyDescent="0.35"/>
    <row r="18" spans="1:7" ht="21.75" customHeight="1" x14ac:dyDescent="0.35">
      <c r="A18" s="51" t="s">
        <v>295</v>
      </c>
      <c r="B18" s="38"/>
      <c r="C18" s="38"/>
      <c r="D18" s="38"/>
      <c r="E18" s="38"/>
      <c r="F18" s="38"/>
      <c r="G18" s="38"/>
    </row>
    <row r="19" spans="1:7" ht="30" customHeight="1" x14ac:dyDescent="0.35">
      <c r="A19" s="2" t="s">
        <v>13</v>
      </c>
      <c r="B19" s="2" t="s">
        <v>296</v>
      </c>
      <c r="C19" s="2" t="s">
        <v>297</v>
      </c>
      <c r="D19" s="2" t="s">
        <v>298</v>
      </c>
      <c r="E19" s="2" t="s">
        <v>299</v>
      </c>
      <c r="F19" s="2" t="s">
        <v>16</v>
      </c>
      <c r="G19" s="2" t="s">
        <v>214</v>
      </c>
    </row>
    <row r="20" spans="1:7" ht="19.5" customHeight="1" x14ac:dyDescent="0.35">
      <c r="A20" s="3" t="s">
        <v>17</v>
      </c>
      <c r="B20" s="8" t="s">
        <v>300</v>
      </c>
      <c r="C20" s="9">
        <f>'Bank Recon'!E5</f>
        <v>3409800</v>
      </c>
      <c r="D20" s="9">
        <f>'Bank Recon'!E18</f>
        <v>0</v>
      </c>
      <c r="E20" s="9">
        <f>D20-C20</f>
        <v>-3409800</v>
      </c>
      <c r="F20" s="32" t="s">
        <v>301</v>
      </c>
      <c r="G20" s="8" t="s">
        <v>302</v>
      </c>
    </row>
    <row r="21" spans="1:7" ht="19.5" customHeight="1" x14ac:dyDescent="0.35">
      <c r="A21" s="6" t="s">
        <v>21</v>
      </c>
      <c r="B21" s="11" t="s">
        <v>303</v>
      </c>
      <c r="C21" s="12">
        <v>882500</v>
      </c>
      <c r="D21" s="12">
        <v>927500</v>
      </c>
      <c r="E21" s="12">
        <v>45000</v>
      </c>
      <c r="F21" s="18" t="s">
        <v>242</v>
      </c>
      <c r="G21" s="11" t="s">
        <v>304</v>
      </c>
    </row>
    <row r="22" spans="1:7" ht="19.5" customHeight="1" x14ac:dyDescent="0.35">
      <c r="A22" s="3" t="s">
        <v>24</v>
      </c>
      <c r="B22" s="8" t="s">
        <v>305</v>
      </c>
      <c r="C22" s="9">
        <v>674000</v>
      </c>
      <c r="D22" s="9">
        <v>664000</v>
      </c>
      <c r="E22" s="9">
        <v>-10000</v>
      </c>
      <c r="F22" s="18" t="s">
        <v>242</v>
      </c>
      <c r="G22" s="8" t="s">
        <v>306</v>
      </c>
    </row>
    <row r="23" spans="1:7" ht="19.5" customHeight="1" x14ac:dyDescent="0.35">
      <c r="A23" s="6" t="s">
        <v>27</v>
      </c>
      <c r="B23" s="11" t="s">
        <v>307</v>
      </c>
      <c r="C23" s="12">
        <v>0</v>
      </c>
      <c r="D23" s="12">
        <v>0</v>
      </c>
      <c r="E23" s="12">
        <v>0</v>
      </c>
      <c r="F23" s="5" t="s">
        <v>308</v>
      </c>
      <c r="G23" s="11" t="s">
        <v>309</v>
      </c>
    </row>
    <row r="24" spans="1:7" ht="19.5" customHeight="1" x14ac:dyDescent="0.35">
      <c r="A24" s="3" t="s">
        <v>30</v>
      </c>
      <c r="B24" s="8" t="s">
        <v>310</v>
      </c>
      <c r="C24" s="9">
        <v>125000</v>
      </c>
      <c r="D24" s="9">
        <v>125000</v>
      </c>
      <c r="E24" s="9">
        <v>0</v>
      </c>
      <c r="F24" s="5" t="s">
        <v>308</v>
      </c>
      <c r="G24" s="8" t="s">
        <v>311</v>
      </c>
    </row>
    <row r="26" spans="1:7" ht="21.75" customHeight="1" x14ac:dyDescent="0.35">
      <c r="A26" s="52" t="s">
        <v>312</v>
      </c>
      <c r="B26" s="38"/>
      <c r="C26" s="38"/>
      <c r="D26" s="38"/>
      <c r="E26" s="38"/>
      <c r="F26" s="38"/>
      <c r="G26" s="38"/>
    </row>
    <row r="27" spans="1:7" ht="30" customHeight="1" x14ac:dyDescent="0.35">
      <c r="A27" s="2" t="s">
        <v>313</v>
      </c>
      <c r="B27" s="2" t="s">
        <v>314</v>
      </c>
      <c r="C27" s="2" t="s">
        <v>315</v>
      </c>
      <c r="D27" s="2" t="s">
        <v>36</v>
      </c>
      <c r="E27" s="36" t="s">
        <v>316</v>
      </c>
      <c r="F27" s="34"/>
      <c r="G27" s="35"/>
    </row>
    <row r="28" spans="1:7" ht="19.5" customHeight="1" x14ac:dyDescent="0.35">
      <c r="A28" s="3" t="s">
        <v>317</v>
      </c>
      <c r="B28" s="3" t="s">
        <v>318</v>
      </c>
      <c r="C28" s="3" t="s">
        <v>319</v>
      </c>
      <c r="D28" s="3" t="s">
        <v>128</v>
      </c>
      <c r="E28" s="55"/>
      <c r="F28" s="34"/>
      <c r="G28" s="34"/>
    </row>
    <row r="29" spans="1:7" ht="19.5" customHeight="1" x14ac:dyDescent="0.35">
      <c r="A29" s="6" t="s">
        <v>320</v>
      </c>
      <c r="B29" s="6" t="s">
        <v>321</v>
      </c>
      <c r="C29" s="6" t="s">
        <v>319</v>
      </c>
      <c r="D29" s="6" t="s">
        <v>128</v>
      </c>
      <c r="E29" s="61"/>
      <c r="F29" s="34"/>
      <c r="G29" s="34"/>
    </row>
    <row r="30" spans="1:7" ht="19.5" customHeight="1" x14ac:dyDescent="0.35">
      <c r="A30" s="3" t="s">
        <v>322</v>
      </c>
      <c r="B30" s="3" t="s">
        <v>11</v>
      </c>
      <c r="C30" s="3" t="s">
        <v>319</v>
      </c>
      <c r="D30" s="3" t="s">
        <v>128</v>
      </c>
      <c r="E30" s="55"/>
      <c r="F30" s="34"/>
      <c r="G30" s="34"/>
    </row>
  </sheetData>
  <mergeCells count="26">
    <mergeCell ref="A1:G1"/>
    <mergeCell ref="C11:D11"/>
    <mergeCell ref="E11:F11"/>
    <mergeCell ref="A5:B5"/>
    <mergeCell ref="A8:B8"/>
    <mergeCell ref="C8:D8"/>
    <mergeCell ref="A4:B4"/>
    <mergeCell ref="C7:D7"/>
    <mergeCell ref="E7:F7"/>
    <mergeCell ref="A3:G3"/>
    <mergeCell ref="A10:B10"/>
    <mergeCell ref="C4:D4"/>
    <mergeCell ref="E4:F4"/>
    <mergeCell ref="C10:D10"/>
    <mergeCell ref="A7:B7"/>
    <mergeCell ref="E10:F10"/>
    <mergeCell ref="E28:G28"/>
    <mergeCell ref="A11:B11"/>
    <mergeCell ref="C5:D5"/>
    <mergeCell ref="E5:F5"/>
    <mergeCell ref="E30:G30"/>
    <mergeCell ref="E8:F8"/>
    <mergeCell ref="E27:G27"/>
    <mergeCell ref="A18:G18"/>
    <mergeCell ref="A26:G26"/>
    <mergeCell ref="E29:G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GL Data</vt:lpstr>
      <vt:lpstr>Bank Statement</vt:lpstr>
      <vt:lpstr>Bank Recon</vt:lpstr>
      <vt:lpstr>Subledger Recon</vt:lpstr>
      <vt:lpstr>Recon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adilwali7435@outlook.com</cp:lastModifiedBy>
  <cp:revision>0</cp:revision>
  <dcterms:created xsi:type="dcterms:W3CDTF">2026-03-31T16:54:36Z</dcterms:created>
  <dcterms:modified xsi:type="dcterms:W3CDTF">2026-04-02T12:48:21Z</dcterms:modified>
  <dc:language>en-US</dc:language>
</cp:coreProperties>
</file>